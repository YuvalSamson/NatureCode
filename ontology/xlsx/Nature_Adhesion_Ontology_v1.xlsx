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e7e30819ed4b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nowledge Map" sheetId="1" r:id="R249d67047641434c"/>
    <x:sheet xmlns:r="http://schemas.openxmlformats.org/officeDocument/2006/relationships" name="Papers (50)" sheetId="2" r:id="Rf76be3ad3ac24472"/>
    <x:sheet xmlns:r="http://schemas.openxmlformats.org/officeDocument/2006/relationships" name="Engine Schema" sheetId="3" r:id="Rb6e28e55254a4457"/>
    <x:sheet xmlns:r="http://schemas.openxmlformats.org/officeDocument/2006/relationships" name="Legacy Map (organisms)" sheetId="4" r:id="R75bcd633f439404b"/>
    <x:sheet xmlns:r="http://schemas.openxmlformats.org/officeDocument/2006/relationships" name="Paper→Ontology" sheetId="5" r:id="R88bd8d3c17b64c6b"/>
    <x:sheet xmlns:r="http://schemas.openxmlformats.org/officeDocument/2006/relationships" name="Adhesion Strategies" sheetId="6" r:id="R589f54026bda4ab4"/>
    <x:sheet xmlns:r="http://schemas.openxmlformats.org/officeDocument/2006/relationships" name="Biological Primitives" sheetId="7" r:id="R0ffad32d937047fe"/>
    <x:sheet xmlns:r="http://schemas.openxmlformats.org/officeDocument/2006/relationships" name="Biological Models" sheetId="8" r:id="R24f6a67e1b3143ef"/>
    <x:sheet xmlns:r="http://schemas.openxmlformats.org/officeDocument/2006/relationships" name="Challenge→Strategy" sheetId="9" r:id="R9840631d2e6849c3"/>
    <x:sheet xmlns:r="http://schemas.openxmlformats.org/officeDocument/2006/relationships" name="Evaluation Metrics" sheetId="10" r:id="R862c5d9fe1174b80"/>
    <x:sheet xmlns:r="http://schemas.openxmlformats.org/officeDocument/2006/relationships" name="Attached Sources" sheetId="11" r:id="R128f1161bf1f4a1e"/>
    <x:sheet xmlns:r="http://schemas.openxmlformats.org/officeDocument/2006/relationships" name="Reasoning Relations" sheetId="12" r:id="R46fc371477cb4e5a"/>
    <x:sheet xmlns:r="http://schemas.openxmlformats.org/officeDocument/2006/relationships" name="Ontology Bridge" sheetId="13" r:id="Rd91c6f8172df4857"/>
    <x:sheet xmlns:r="http://schemas.openxmlformats.org/officeDocument/2006/relationships" name="Maturity Guide" sheetId="14" r:id="R1aceb1233cb94d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0"/>
      <x:name val="Arial"/>
    </x:font>
    <x:font>
      <x:sz val="11"/>
      <x:name val="Calibri"/>
    </x:font>
    <x:font>
      <x:b/>
      <x:sz val="18"/>
      <x:color rgb="FFFFFFFF"/>
      <x:name val="Calibri"/>
    </x:font>
    <x:font>
      <x:b/>
      <x:sz val="12"/>
      <x:color rgb="FFFFFFFF"/>
      <x:name val="Calibri"/>
    </x:font>
    <x:font>
      <x:i/>
      <x:sz val="10"/>
      <x:color rgb="FF244A54"/>
      <x:name val="Calibri"/>
    </x:font>
    <x:font>
      <x:b/>
      <x:sz val="11"/>
      <x:color rgb="FFFFFFFF"/>
      <x:name val="Calibri"/>
    </x:font>
    <x:font>
      <x:sz val="10"/>
      <x:color rgb="FF17333A"/>
      <x:name val="Calibri"/>
    </x:font>
    <x:font>
      <x:b/>
      <x:sz val="11"/>
      <x:color rgb="FF123B4A"/>
      <x:name val="Calibri"/>
    </x:font>
    <x:font>
      <x:b/>
      <x:sz val="10"/>
      <x:color rgb="FF174C59"/>
      <x:name val="Calibri"/>
    </x:font>
    <x:font>
      <x:b/>
      <x:sz val="10"/>
      <x:color rgb="FF17333A"/>
      <x:name val="Calibri"/>
    </x:font>
    <x:font>
      <x:i/>
      <x:sz val="9"/>
      <x:color rgb="FF4A5A5F"/>
      <x:name val="Calibri"/>
    </x:font>
    <x:font>
      <x:b/>
      <x:sz val="10"/>
      <x:color rgb="FFFFFFFF"/>
      <x:name val="Arial"/>
    </x:font>
    <x:font>
      <x:b/>
      <x:sz val="10"/>
      <x:color rgb="FF085041"/>
      <x:name val="Arial"/>
    </x:font>
    <x:font>
      <x:sz val="11"/>
      <x:color rgb="FF0B63A5"/>
      <x:name val="Calibri"/>
    </x:font>
    <x:font>
      <x:sz val="10"/>
      <x:color rgb="FF2C2C2A"/>
      <x:name val="Arial"/>
    </x:font>
    <x:font>
      <x:b/>
      <x:sz val="16"/>
      <x:color rgb="FFFFFFFF"/>
      <x:name val="Calibri"/>
    </x:font>
    <x:font>
      <x:i/>
      <x:sz val="11"/>
      <x:color rgb="FF244A54"/>
      <x:name val="Calibri"/>
    </x:font>
    <x:font>
      <x:b/>
      <x:sz val="15"/>
      <x:color rgb="FFFFFFFF"/>
      <x:name val="Calibri"/>
    </x:font>
    <x:font>
      <x:b/>
      <x:sz val="13"/>
      <x:color rgb="FF085041"/>
      <x:name val="Arial"/>
    </x:font>
    <x:font>
      <x:i/>
      <x:sz val="10"/>
      <x:color rgb="FF6F6F67"/>
      <x:name val="Arial"/>
    </x:font>
    <x:font>
      <x:b/>
      <x:sz val="10"/>
      <x:color rgb="FF2C2C2A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123F4A"/>
      </x:patternFill>
    </x:fill>
    <x:fill>
      <x:patternFill patternType="solid">
        <x:fgColor rgb="FFEAF3F5"/>
      </x:patternFill>
    </x:fill>
    <x:fill>
      <x:patternFill patternType="solid">
        <x:fgColor rgb="FF2E6F7E"/>
      </x:patternFill>
    </x:fill>
    <x:fill>
      <x:patternFill patternType="solid">
        <x:fgColor rgb="FFFFFFFF"/>
      </x:patternFill>
    </x:fill>
    <x:fill>
      <x:patternFill patternType="solid">
        <x:fgColor rgb="FFEEF1F3"/>
      </x:patternFill>
    </x:fill>
    <x:fill>
      <x:patternFill patternType="solid">
        <x:fgColor rgb="FF123B4A"/>
      </x:patternFill>
    </x:fill>
    <x:fill>
      <x:patternFill patternType="solid">
        <x:fgColor rgb="FF085041"/>
      </x:patternFill>
    </x:fill>
    <x:fill>
      <x:patternFill patternType="solid">
        <x:fgColor rgb="FFC9E9DD"/>
      </x:patternFill>
    </x:fill>
    <x:fill>
      <x:patternFill patternType="solid">
        <x:fgColor rgb="FFEAF0FB"/>
      </x:patternFill>
    </x:fill>
    <x:fill>
      <x:patternFill patternType="solid">
        <x:fgColor rgb="FFFCEBEB"/>
      </x:patternFill>
    </x:fill>
    <x:fill>
      <x:patternFill patternType="solid">
        <x:fgColor rgb="FFEAF6F1"/>
      </x:patternFill>
    </x:fill>
    <x:fill>
      <x:patternFill patternType="solid">
        <x:fgColor rgb="FFF0F8F4"/>
      </x:patternFill>
    </x:fill>
    <x:fill>
      <x:patternFill patternType="solid">
        <x:fgColor rgb="FFFFF3CD"/>
      </x:patternFill>
    </x:fill>
    <x:fill>
      <x:patternFill patternType="solid">
        <x:fgColor rgb="FF1D9E75"/>
      </x:patternFill>
    </x:fill>
    <x:fill>
      <x:patternFill patternType="solid">
        <x:fgColor rgb="FFE1F5EE"/>
      </x:patternFill>
    </x:fill>
  </x:fills>
  <x:borders count="2">
    <x:border/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</x:borders>
  <x:cellStyleXfs count="2">
    <x:xf numFmtId="0" fontId="0" fillId="0" borderId="0"/>
    <x:xf numFmtId="0" fontId="1" fillId="0" borderId="0"/>
  </x:cellStyleXfs>
  <x:cellXfs count="48">
    <x:xf numFmtId="0" fontId="0" fillId="0" borderId="0" xfId="0"/>
    <x:xf numFmtId="0" fontId="14" fillId="0" borderId="1" xfId="1" applyFont="1" applyBorder="1" applyAlignment="1">
      <x:alignment horizontal="left" vertical="top" wrapText="1"/>
    </x:xf>
    <x:xf numFmtId="0" fontId="11" fillId="15" borderId="1" xfId="1" applyFont="1" applyFill="1" applyBorder="1" applyAlignment="1">
      <x:alignment horizontal="left" vertical="top" wrapText="1"/>
    </x:xf>
    <x:xf numFmtId="0" fontId="19" fillId="0" borderId="0" xfId="1" applyFont="1" applyBorder="1"/>
    <x:xf numFmtId="0" fontId="17" fillId="2" borderId="0" xfId="1" applyFont="1" applyFill="1" applyBorder="1" applyAlignment="1">
      <x:alignment vertical="center" wrapText="1"/>
    </x:xf>
    <x:xf numFmtId="0" fontId="16" fillId="3" borderId="0" xfId="1" applyFont="1" applyFill="1" applyBorder="1" applyAlignment="1">
      <x:alignment wrapText="1"/>
    </x:xf>
    <x:xf numFmtId="0" fontId="15" fillId="2" borderId="0" xfId="1" applyFont="1" applyFill="1" applyBorder="1" applyAlignment="1">
      <x:alignment vertical="center" wrapText="1"/>
    </x:xf>
    <x:xf numFmtId="0" fontId="10" fillId="6" borderId="0" xfId="1" applyFont="1" applyFill="1" applyBorder="1" applyAlignment="1">
      <x:alignment wrapText="1"/>
    </x:xf>
    <x:xf numFmtId="0" fontId="3" fillId="2" borderId="0" xfId="1" applyFont="1" applyFill="1" applyBorder="1" applyAlignment="1">
      <x:alignment horizontal="center" vertical="center" wrapText="1"/>
    </x:xf>
    <x:xf numFmtId="0" fontId="4" fillId="3" borderId="0" xfId="1" applyFont="1" applyFill="1" applyBorder="1" applyAlignment="1">
      <x:alignment vertical="center" wrapText="1"/>
    </x:xf>
    <x:xf numFmtId="0" fontId="3" fillId="2" borderId="0" xfId="1" applyFont="1" applyFill="1" applyBorder="1" applyAlignment="1">
      <x:alignment vertical="center" wrapText="1"/>
    </x:xf>
    <x:xf numFmtId="0" fontId="2" fillId="2" borderId="0" xfId="1" applyFont="1" applyFill="1" applyBorder="1" applyAlignment="1">
      <x:alignment horizontal="left" vertical="center" wrapText="1"/>
    </x:xf>
    <x:xf numFmtId="0" fontId="1" fillId="0" borderId="0" xfId="1" applyBorder="1"/>
    <x:xf numFmtId="0" fontId="2" fillId="2" borderId="0" xfId="1" applyFont="1" applyFill="1" applyBorder="1" applyAlignment="1">
      <x:alignment horizontal="left" vertical="center" wrapText="1"/>
    </x:xf>
    <x:xf numFmtId="0" fontId="5" fillId="4" borderId="0" xfId="1" applyFont="1" applyFill="1" applyBorder="1" applyAlignment="1">
      <x:alignment horizontal="center" vertical="center" wrapText="1"/>
    </x:xf>
    <x:xf numFmtId="0" fontId="6" fillId="0" borderId="0" xfId="1" applyFont="1" applyBorder="1" applyAlignment="1">
      <x:alignment vertical="top" wrapText="1"/>
    </x:xf>
    <x:xf numFmtId="1" fontId="6" fillId="0" borderId="0" xfId="1" applyNumberFormat="1" applyFont="1" applyBorder="1" applyAlignment="1">
      <x:alignment vertical="top" wrapText="1"/>
    </x:xf>
    <x:xf numFmtId="0" fontId="1" fillId="0" borderId="0" xfId="1" applyBorder="1" applyAlignment="1">
      <x:alignment vertical="top" wrapText="1"/>
    </x:xf>
    <x:xf numFmtId="0" fontId="7" fillId="0" borderId="0" xfId="1" applyFont="1" applyBorder="1" applyAlignment="1">
      <x:alignment horizontal="center" vertical="center" wrapText="1"/>
    </x:xf>
    <x:xf numFmtId="0" fontId="1" fillId="0" borderId="0" xfId="1" applyBorder="1" applyAlignment="1">
      <x:alignment wrapText="1"/>
    </x:xf>
    <x:xf numFmtId="0" fontId="8" fillId="5" borderId="0" xfId="1" applyFont="1" applyFill="1" applyBorder="1" applyAlignment="1">
      <x:alignment vertical="top" wrapText="1"/>
    </x:xf>
    <x:xf numFmtId="0" fontId="6" fillId="5" borderId="0" xfId="1" applyFont="1" applyFill="1" applyBorder="1" applyAlignment="1">
      <x:alignment vertical="top" wrapText="1"/>
    </x:xf>
    <x:xf numFmtId="0" fontId="7" fillId="0" borderId="0" xfId="1" applyFont="1" applyBorder="1" applyAlignment="1">
      <x:alignment vertical="top" wrapText="1"/>
    </x:xf>
    <x:xf numFmtId="1" fontId="6" fillId="5" borderId="0" xfId="1" applyNumberFormat="1" applyFont="1" applyFill="1" applyBorder="1" applyAlignment="1">
      <x:alignment horizontal="center" vertical="top" wrapText="1"/>
    </x:xf>
    <x:xf numFmtId="0" fontId="9" fillId="5" borderId="0" xfId="1" applyFont="1" applyFill="1" applyBorder="1" applyAlignment="1">
      <x:alignment vertical="top" wrapText="1"/>
    </x:xf>
    <x:xf numFmtId="0" fontId="8" fillId="5" borderId="0" xfId="1" applyFont="1" applyFill="1" applyBorder="1" applyAlignment="1">
      <x:alignment horizontal="center" vertical="top" wrapText="1"/>
    </x:xf>
    <x:xf numFmtId="0" fontId="9" fillId="5" borderId="0" xfId="1" applyFont="1" applyFill="1" applyBorder="1" applyAlignment="1">
      <x:alignment horizontal="center" vertical="top" wrapText="1"/>
    </x:xf>
    <x:xf numFmtId="0" fontId="5" fillId="7" borderId="0" xfId="1" applyFont="1" applyFill="1" applyBorder="1" applyAlignment="1">
      <x:alignment horizontal="center" vertical="center" wrapText="1"/>
    </x:xf>
    <x:xf numFmtId="0" fontId="11" fillId="8" borderId="1" xfId="1" applyFont="1" applyFill="1" applyBorder="1" applyAlignment="1">
      <x:alignment horizontal="center" vertical="center" wrapText="1"/>
    </x:xf>
    <x:xf numFmtId="0" fontId="12" fillId="9" borderId="1" xfId="1" applyFont="1" applyFill="1" applyBorder="1" applyAlignment="1">
      <x:alignment horizontal="center" vertical="center" wrapText="1"/>
    </x:xf>
    <x:xf numFmtId="0" fontId="1" fillId="0" borderId="0" xfId="1" applyFont="1" applyBorder="1" applyAlignment="1">
      <x:alignment horizontal="center" vertical="top" wrapText="1"/>
    </x:xf>
    <x:xf numFmtId="0" fontId="13" fillId="0" borderId="0" xfId="1" applyFont="1" applyBorder="1" applyAlignment="1">
      <x:alignment vertical="top" wrapText="1"/>
    </x:xf>
    <x:xf numFmtId="0" fontId="14" fillId="10" borderId="1" xfId="1" applyFont="1" applyFill="1" applyBorder="1" applyAlignment="1">
      <x:alignment horizontal="left" vertical="top" wrapText="1"/>
    </x:xf>
    <x:xf numFmtId="0" fontId="14" fillId="11" borderId="1" xfId="1" applyFont="1" applyFill="1" applyBorder="1" applyAlignment="1">
      <x:alignment horizontal="left" vertical="top" wrapText="1"/>
    </x:xf>
    <x:xf numFmtId="0" fontId="14" fillId="12" borderId="1" xfId="1" applyFont="1" applyFill="1" applyBorder="1" applyAlignment="1">
      <x:alignment horizontal="left" vertical="top" wrapText="1"/>
    </x:xf>
    <x:xf numFmtId="0" fontId="15" fillId="2" borderId="0" xfId="1" applyFont="1" applyFill="1" applyBorder="1" applyAlignment="1">
      <x:alignment vertical="center" wrapText="1"/>
    </x:xf>
    <x:xf numFmtId="0" fontId="8" fillId="0" borderId="0" xfId="1" applyFont="1" applyBorder="1" applyAlignment="1">
      <x:alignment vertical="top" wrapText="1"/>
    </x:xf>
    <x:xf numFmtId="0" fontId="8" fillId="13" borderId="0" xfId="1" applyFont="1" applyFill="1" applyBorder="1" applyAlignment="1">
      <x:alignment vertical="top" wrapText="1"/>
    </x:xf>
    <x:xf numFmtId="0" fontId="6" fillId="13" borderId="0" xfId="1" applyFont="1" applyFill="1" applyBorder="1" applyAlignment="1">
      <x:alignment vertical="top" wrapText="1"/>
    </x:xf>
    <x:xf numFmtId="0" fontId="8" fillId="14" borderId="0" xfId="1" applyFont="1" applyFill="1" applyBorder="1" applyAlignment="1">
      <x:alignment vertical="top" wrapText="1"/>
    </x:xf>
    <x:xf numFmtId="0" fontId="6" fillId="14" borderId="0" xfId="1" applyFont="1" applyFill="1" applyBorder="1" applyAlignment="1">
      <x:alignment vertical="top" wrapText="1"/>
    </x:xf>
    <x:xf numFmtId="0" fontId="18" fillId="0" borderId="0" xfId="1" applyFont="1" applyBorder="1"/>
    <x:xf numFmtId="0" fontId="11" fillId="15" borderId="1" xfId="1" applyFont="1" applyFill="1" applyBorder="1" applyAlignment="1">
      <x:alignment horizontal="center" vertical="center" wrapText="1"/>
    </x:xf>
    <x:xf numFmtId="0" fontId="20" fillId="16" borderId="1" xfId="1" applyFont="1" applyFill="1" applyBorder="1" applyAlignment="1">
      <x:alignment horizontal="left" vertical="top" wrapText="1"/>
    </x:xf>
    <x:xf numFmtId="0" fontId="14" fillId="5" borderId="1" xfId="1" applyFont="1" applyFill="1" applyBorder="1" applyAlignment="1">
      <x:alignment horizontal="left" vertical="top" wrapText="1"/>
    </x:xf>
    <x:xf numFmtId="0" fontId="11" fillId="15" borderId="1" xfId="1" applyFont="1" applyFill="1" applyBorder="1" applyAlignment="1">
      <x:alignment horizontal="left" vertical="top" wrapText="1"/>
    </x:xf>
    <x:xf numFmtId="0" fontId="12" fillId="16" borderId="1" xfId="1" applyFont="1" applyFill="1" applyBorder="1" applyAlignment="1">
      <x:alignment horizontal="left" vertical="top" wrapText="1"/>
    </x:xf>
    <x:xf numFmtId="0" fontId="14" fillId="0" borderId="1" xfId="1" applyFont="1" applyBorder="1" applyAlignment="1">
      <x:alignment horizontal="left" vertical="top" wrapText="1"/>
    </x:xf>
  </x:cellXfs>
  <x:cellStyles count="2">
    <x:cellStyle name="Normal" xfId="0"/>
    <x:cellStyle name="Normal 2" xfId="1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174C59"/>
      <x:rgbColor rgb="FF000080"/>
      <x:rgbColor rgb="FF808000"/>
      <x:rgbColor rgb="FF800080"/>
      <x:rgbColor rgb="FF2E6F7E"/>
      <x:rgbColor rgb="FFBBBBBB"/>
      <x:rgbColor rgb="FF6F6F67"/>
      <x:rgbColor rgb="FF9999FF"/>
      <x:rgbColor rgb="FF993366"/>
      <x:rgbColor rgb="FFFFF3CD"/>
      <x:rgbColor rgb="FFE1F5EE"/>
      <x:rgbColor rgb="FF660066"/>
      <x:rgbColor rgb="FFFF8080"/>
      <x:rgbColor rgb="FF0B63A5"/>
      <x:rgbColor rgb="FFEAF0FB"/>
      <x:rgbColor rgb="FF000080"/>
      <x:rgbColor rgb="FFFF00FF"/>
      <x:rgbColor rgb="FFFFFF00"/>
      <x:rgbColor rgb="FF00FFFF"/>
      <x:rgbColor rgb="FF800080"/>
      <x:rgbColor rgb="FF800000"/>
      <x:rgbColor rgb="FF085041"/>
      <x:rgbColor rgb="FF0000FF"/>
      <x:rgbColor rgb="FF00CCFF"/>
      <x:rgbColor rgb="FFEAF6F1"/>
      <x:rgbColor rgb="FFC9E9DD"/>
      <x:rgbColor rgb="FFFCEBEB"/>
      <x:rgbColor rgb="FFEAF3F5"/>
      <x:rgbColor rgb="FFF0F8F4"/>
      <x:rgbColor rgb="FFCC99FF"/>
      <x:rgbColor rgb="FFEEF1F3"/>
      <x:rgbColor rgb="FF3366FF"/>
      <x:rgbColor rgb="FF33CCCC"/>
      <x:rgbColor rgb="FF99CC00"/>
      <x:rgbColor rgb="FFFFCC00"/>
      <x:rgbColor rgb="FFFF9900"/>
      <x:rgbColor rgb="FFFF6600"/>
      <x:rgbColor rgb="FF4A5A5F"/>
      <x:rgbColor rgb="FF969696"/>
      <x:rgbColor rgb="FF123B4A"/>
      <x:rgbColor rgb="FF1D9E75"/>
      <x:rgbColor rgb="FF17333A"/>
      <x:rgbColor rgb="FF123F4A"/>
      <x:rgbColor rgb="FF993300"/>
      <x:rgbColor rgb="FF993366"/>
      <x:rgbColor rgb="FF244A54"/>
      <x:rgbColor rgb="FF2C2C2A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e30f720fa54e42" /><Relationship Type="http://schemas.openxmlformats.org/officeDocument/2006/relationships/theme" Target="/xl/theme/theme1.xml" Id="R330fa92296734ea8" /><Relationship Type="http://schemas.openxmlformats.org/officeDocument/2006/relationships/sharedStrings" Target="/xl/sharedStrings.xml" Id="R62bde0eca89a476c" /><Relationship Type="http://schemas.openxmlformats.org/officeDocument/2006/relationships/worksheet" Target="/xl/worksheets/sheet1.xml" Id="R249d67047641434c" /><Relationship Type="http://schemas.openxmlformats.org/officeDocument/2006/relationships/worksheet" Target="/xl/worksheets/sheet2.xml" Id="Rf76be3ad3ac24472" /><Relationship Type="http://schemas.openxmlformats.org/officeDocument/2006/relationships/worksheet" Target="/xl/worksheets/sheet3.xml" Id="Rb6e28e55254a4457" /><Relationship Type="http://schemas.openxmlformats.org/officeDocument/2006/relationships/worksheet" Target="/xl/worksheets/sheet4.xml" Id="R75bcd633f439404b" /><Relationship Type="http://schemas.openxmlformats.org/officeDocument/2006/relationships/worksheet" Target="/xl/worksheets/sheet5.xml" Id="R88bd8d3c17b64c6b" /><Relationship Type="http://schemas.openxmlformats.org/officeDocument/2006/relationships/worksheet" Target="/xl/worksheets/sheet6.xml" Id="R589f54026bda4ab4" /><Relationship Type="http://schemas.openxmlformats.org/officeDocument/2006/relationships/worksheet" Target="/xl/worksheets/sheet7.xml" Id="R0ffad32d937047fe" /><Relationship Type="http://schemas.openxmlformats.org/officeDocument/2006/relationships/worksheet" Target="/xl/worksheets/sheet8.xml" Id="R24f6a67e1b3143ef" /><Relationship Type="http://schemas.openxmlformats.org/officeDocument/2006/relationships/worksheet" Target="/xl/worksheets/sheet9.xml" Id="R9840631d2e6849c3" /><Relationship Type="http://schemas.openxmlformats.org/officeDocument/2006/relationships/worksheet" Target="/xl/worksheets/sheet10.xml" Id="R862c5d9fe1174b80" /><Relationship Type="http://schemas.openxmlformats.org/officeDocument/2006/relationships/worksheet" Target="/xl/worksheets/sheet11.xml" Id="R128f1161bf1f4a1e" /><Relationship Type="http://schemas.openxmlformats.org/officeDocument/2006/relationships/worksheet" Target="/xl/worksheets/sheet12.xml" Id="R46fc371477cb4e5a" /><Relationship Type="http://schemas.openxmlformats.org/officeDocument/2006/relationships/worksheet" Target="/xl/worksheets/sheet13.xml" Id="Rd91c6f8172df4857" /><Relationship Type="http://schemas.openxmlformats.org/officeDocument/2006/relationships/worksheet" Target="/xl/worksheets/sheet14.xml" Id="R1aceb1233cb94d3e" /></Relationships>
</file>

<file path=xl/tables/table1.xml><?xml version="1.0" encoding="utf-8"?>
<x:table xmlns:x="http://schemas.openxmlformats.org/spreadsheetml/2006/main" id="8" name="PapersTable" displayName="PapersTable" ref="A1:S61" totalsRowShown="0">
  <x:tableColumns count="19">
    <x:tableColumn id="1" name="Paper ID"/>
    <x:tableColumn id="2" name="Cohort"/>
    <x:tableColumn id="3" name="Year"/>
    <x:tableColumn id="4" name="Title"/>
    <x:tableColumn id="5" name="Journal"/>
    <x:tableColumn id="6" name="Biological model"/>
    <x:tableColumn id="7" name="Biological challenge"/>
    <x:tableColumn id="8" name="Mechanism"/>
    <x:tableColumn id="9" name="Abstracted design principle"/>
    <x:tableColumn id="10" name="Primary strategy"/>
    <x:tableColumn id="11" name="Secondary strategy"/>
    <x:tableColumn id="12" name="Healing mode"/>
    <x:tableColumn id="13" name="Trigger"/>
    <x:tableColumn id="14" name="Repeatability"/>
    <x:tableColumn id="15" name="Engineering implementation"/>
    <x:tableColumn id="16" name="Application domain"/>
    <x:tableColumn id="17" name="Citation signal"/>
    <x:tableColumn id="18" name="Source link (checked at compile)"/>
    <x:tableColumn id="19" name="Notes"/>
  </x:tableColumns>
  <x:tableStyleInfo showFirstColumn="0" showLastColumn="0" showRowStripes="1" showColumnStripes="0"/>
</x:table>
</file>

<file path=xl/tables/table2.xml><?xml version="1.0" encoding="utf-8"?>
<x:table xmlns:x="http://schemas.openxmlformats.org/spreadsheetml/2006/main" id="5" name="EngineSchemaTable" displayName="EngineSchemaTable" ref="A4:H51" totalsRowShown="0">
  <x:tableColumns count="8">
    <x:tableColumn id="1" name="Field"/>
    <x:tableColumn id="2" name="Entity / layer"/>
    <x:tableColumn id="3" name="Question the engine answers"/>
    <x:tableColumn id="4" name="Controlled vocabulary / data type"/>
    <x:tableColumn id="5" name="Example"/>
    <x:tableColumn id="6" name="Reasoning role"/>
    <x:tableColumn id="7" name="Required?"/>
    <x:tableColumn id="8" name="Validation rule / caveat"/>
  </x:tableColumns>
  <x:tableStyleInfo showFirstColumn="0" showLastColumn="0" showRowStripes="1" showColumnStripes="0"/>
</x:table>
</file>

<file path=xl/tables/table3.xml><?xml version="1.0" encoding="utf-8"?>
<x:table xmlns:x="http://schemas.openxmlformats.org/spreadsheetml/2006/main" id="7" name="PaperOntologyTable" displayName="PaperOntologyTable" ref="A4:J64" totalsRowShown="0">
  <x:tableColumns count="10">
    <x:tableColumn id="1" name="Paper ID"/>
    <x:tableColumn id="2" name="Year"/>
    <x:tableColumn id="3" name="Title"/>
    <x:tableColumn id="4" name="Biological model"/>
    <x:tableColumn id="5" name="Ontology primary"/>
    <x:tableColumn id="6" name="Ontology secondary"/>
    <x:tableColumn id="7" name="Repair phase"/>
    <x:tableColumn id="8" name="Trigger"/>
    <x:tableColumn id="9" name="Repeatability"/>
    <x:tableColumn id="10" name="Validated source"/>
  </x:tableColumns>
  <x:tableStyleInfo showFirstColumn="0" showLastColumn="0" showRowStripes="1" showColumnStripes="0"/>
</x:table>
</file>

<file path=xl/tables/table4.xml><?xml version="1.0" encoding="utf-8"?>
<x:table xmlns:x="http://schemas.openxmlformats.org/spreadsheetml/2006/main" id="10" name="RepairStrategiesTable" displayName="RepairStrategiesTable" ref="A4:X20" totalsRowShown="0">
  <x:tableColumns count="24">
    <x:tableColumn id="1" name="Strategy ID"/>
    <x:tableColumn id="2" name="Strategy"/>
    <x:tableColumn id="3" name="Repair phase(s)"/>
    <x:tableColumn id="4" name="Canonical / extended primitive"/>
    <x:tableColumn id="5" name="Representative biological model"/>
    <x:tableColumn id="6" name="Biological challenge"/>
    <x:tableColumn id="7" name="Natural sequence"/>
    <x:tableColumn id="8" name="Trigger / sensor"/>
    <x:tableColumn id="9" name="Immediate response"/>
    <x:tableColumn id="10" name="Resource / repair material"/>
    <x:tableColumn id="11" name="Resource location"/>
    <x:tableColumn id="12" name="Transport / mobilization"/>
    <x:tableColumn id="13" name="Reconstruction mode"/>
    <x:tableColumn id="14" name="Spatial scale"/>
    <x:tableColumn id="15" name="Temporal profile"/>
    <x:tableColumn id="16" name="Repeatability"/>
    <x:tableColumn id="17" name="Function(s) restored"/>
    <x:tableColumn id="18" name="Engineering-neutral design rule"/>
    <x:tableColumn id="19" name="Suitable engineering conditions"/>
    <x:tableColumn id="20" name="Main trade-off"/>
    <x:tableColumn id="21" name="Common failure mode"/>
    <x:tableColumn id="22" name="Best complementary strategies"/>
    <x:tableColumn id="23" name="Evidence anchors"/>
    <x:tableColumn id="24" name="Confidence"/>
  </x:tableColumns>
  <x:tableStyleInfo showFirstColumn="0" showLastColumn="0" showRowStripes="1" showColumnStripes="0"/>
</x:table>
</file>

<file path=xl/tables/table5.xml><?xml version="1.0" encoding="utf-8"?>
<x:table xmlns:x="http://schemas.openxmlformats.org/spreadsheetml/2006/main" id="3" name="BiologicalPrimitivesTable" displayName="BiologicalPrimitivesTable" ref="A4:O20" totalsRowShown="0">
  <x:tableColumns count="15">
    <x:tableColumn id="1" name="Primitive ID"/>
    <x:tableColumn id="2" name="Primitive"/>
    <x:tableColumn id="3" name="Status"/>
    <x:tableColumn id="4" name="Nature examples"/>
    <x:tableColumn id="5" name="Core action"/>
    <x:tableColumn id="6" name="Trigger / recognition"/>
    <x:tableColumn id="7" name="Material / resource behavior"/>
    <x:tableColumn id="8" name="Transport"/>
    <x:tableColumn id="9" name="Spatial logic"/>
    <x:tableColumn id="10" name="Temporal logic"/>
    <x:tableColumn id="11" name="Repeatability"/>
    <x:tableColumn id="12" name="Engineering abstraction"/>
    <x:tableColumn id="13" name="Ontology strategies"/>
    <x:tableColumn id="14" name="Key limitation"/>
    <x:tableColumn id="15" name="Evidence"/>
  </x:tableColumns>
  <x:tableStyleInfo showFirstColumn="0" showLastColumn="0" showRowStripes="1" showColumnStripes="0"/>
</x:table>
</file>

<file path=xl/tables/table6.xml><?xml version="1.0" encoding="utf-8"?>
<x:table xmlns:x="http://schemas.openxmlformats.org/spreadsheetml/2006/main" id="2" name="BiologicalModelsTable" displayName="BiologicalModelsTable" ref="A4:N34" totalsRowShown="0">
  <x:tableColumns count="14">
    <x:tableColumn id="1" name="Model ID"/>
    <x:tableColumn id="2" name="Domain"/>
    <x:tableColumn id="3" name="Biological model"/>
    <x:tableColumn id="4" name="Damage / challenge"/>
    <x:tableColumn id="5" name="Natural response sequence"/>
    <x:tableColumn id="6" name="Primitive IDs"/>
    <x:tableColumn id="7" name="Strategy IDs"/>
    <x:tableColumn id="8" name="Primary resources / energy"/>
    <x:tableColumn id="9" name="Transport mode"/>
    <x:tableColumn id="10" name="Spatial scale"/>
    <x:tableColumn id="11" name="Temporal profile"/>
    <x:tableColumn id="12" name="Repeatability"/>
    <x:tableColumn id="13" name="Transferable rule"/>
    <x:tableColumn id="14" name="Evidence / attached source"/>
  </x:tableColumns>
  <x:tableStyleInfo showFirstColumn="0" showLastColumn="0" showRowStripes="1" showColumnStripes="0"/>
</x:table>
</file>

<file path=xl/tables/table7.xml><?xml version="1.0" encoding="utf-8"?>
<x:table xmlns:x="http://schemas.openxmlformats.org/spreadsheetml/2006/main" id="4" name="ChallengeStrategyTable" displayName="ChallengeStrategyTable" ref="A4:J22" totalsRowShown="0">
  <x:tableColumns count="10">
    <x:tableColumn id="1" name="Challenge pattern"/>
    <x:tableColumn id="2" name="Critical qualifiers"/>
    <x:tableColumn id="3" name="Prioritize"/>
    <x:tableColumn id="4" name="Usually combine with"/>
    <x:tableColumn id="5" name="De-prioritize / reject when"/>
    <x:tableColumn id="6" name="Reasoning rule"/>
    <x:tableColumn id="7" name="Biological model"/>
    <x:tableColumn id="8" name="What to measure"/>
    <x:tableColumn id="9" name="Evidence status"/>
    <x:tableColumn id="10" name="Notes"/>
  </x:tableColumns>
  <x:tableStyleInfo showFirstColumn="0" showLastColumn="0" showRowStripes="1" showColumnStripes="0"/>
</x:table>
</file>

<file path=xl/tables/table8.xml><?xml version="1.0" encoding="utf-8"?>
<x:table xmlns:x="http://schemas.openxmlformats.org/spreadsheetml/2006/main" id="6" name="EvaluationMetricsTable" displayName="EvaluationMetricsTable" ref="A4:L24" totalsRowShown="0">
  <x:tableColumns count="12">
    <x:tableColumn id="1" name="Metric ID"/>
    <x:tableColumn id="2" name="Metric / field"/>
    <x:tableColumn id="3" name="Function class"/>
    <x:tableColumn id="4" name="Definition / question"/>
    <x:tableColumn id="5" name="Typical unit"/>
    <x:tableColumn id="6" name="Required conditions to store"/>
    <x:tableColumn id="7" name="Why needed"/>
    <x:tableColumn id="8" name="Common misuse"/>
    <x:tableColumn id="9" name="Preferred evidence"/>
    <x:tableColumn id="10" name="Relevant strategies"/>
    <x:tableColumn id="11" name="Example source"/>
    <x:tableColumn id="12" name="Engine requirement"/>
  </x:tableColumns>
  <x:tableStyleInfo showFirstColumn="0" showLastColumn="0" showRowStripes="1" showColumnStripes="0"/>
</x:table>
</file>

<file path=xl/tables/table9.xml><?xml version="1.0" encoding="utf-8"?>
<x:table xmlns:x="http://schemas.openxmlformats.org/spreadsheetml/2006/main" id="1" name="AttachedSourcesTable" displayName="AttachedSourcesTable" ref="A4:L23" totalsRowShown="0">
  <x:tableColumns count="12">
    <x:tableColumn id="1" name="File"/>
    <x:tableColumn id="2" name="Title / identification"/>
    <x:tableColumn id="3" name="Year"/>
    <x:tableColumn id="4" name="Source type"/>
    <x:tableColumn id="5" name="Peer-review / status"/>
    <x:tableColumn id="6" name="Main ontology contribution"/>
    <x:tableColumn id="7" name="Strategies / primitives informed"/>
    <x:tableColumn id="8" name="Key constraint or nuance integrated"/>
    <x:tableColumn id="9" name="DOI / source URL"/>
    <x:tableColumn id="10" name="Use in ontology"/>
    <x:tableColumn id="11" name="Evidence weight"/>
    <x:tableColumn id="12" name="Notes"/>
  </x:tableColumns>
  <x:tableStyleInfo showFirstColumn="0" showLastColumn="0" showRowStripes="1" showColumnStripes="0"/>
</x:table>
</file>

<file path=xl/tables/table10.xml><?xml version="1.0" encoding="utf-8"?>
<x:table xmlns:x="http://schemas.openxmlformats.org/spreadsheetml/2006/main" id="9" name="ReasoningRelationsTable" displayName="ReasoningRelationsTable" ref="A4:I54" totalsRowShown="0">
  <x:tableColumns count="9">
    <x:tableColumn id="1" name="Relation ID"/>
    <x:tableColumn id="2" name="Subject"/>
    <x:tableColumn id="3" name="Relation"/>
    <x:tableColumn id="4" name="Object"/>
    <x:tableColumn id="5" name="Qualifier / condition"/>
    <x:tableColumn id="6" name="Reasoning implication"/>
    <x:tableColumn id="7" name="Evidence basis"/>
    <x:tableColumn id="8" name="Evidence type"/>
    <x:tableColumn id="9" name="Confidence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ae2f0acf374d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ccb426559040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4b958cd8b2f44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3e63bec802e47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cb56528bce349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88c2d02b36640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75a2194a1fd404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c7f232fd605045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1a75cdfaf89461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8cafdd78db94086" /></Relationships>
</file>

<file path=xl/worksheets/sheet1.xml><?xml version="1.0" encoding="utf-8"?>
<x:worksheet xmlns:x="http://schemas.openxmlformats.org/spreadsheetml/2006/main">
  <x:sheetFormatPr defaultColWidth="8.6328125" defaultRowHeight="14.5"/>
  <x:cols>
    <x:col min="1" max="1" width="18" style="12" customWidth="1"/>
    <x:col min="2" max="2" width="28" style="12" customWidth="1"/>
    <x:col min="3" max="3" width="22" style="12" customWidth="1"/>
    <x:col min="4" max="4" width="25" style="12" customWidth="1"/>
    <x:col min="5" max="5" width="32" style="12" customWidth="1"/>
    <x:col min="6" max="6" width="42" style="12" customWidth="1"/>
    <x:col min="7" max="7" width="24" style="12" customWidth="1"/>
    <x:col min="8" max="8" width="16" style="12" customWidth="1"/>
    <x:col min="9" max="9" width="31" style="12" customWidth="1"/>
    <x:col min="10" max="10" width="12" style="12" customWidth="1"/>
    <x:col min="12" max="12" width="34" style="12" customWidth="1"/>
    <x:col min="13" max="13" width="16" style="12" customWidth="1"/>
  </x:cols>
  <x:sheetData>
    <x:row r="1" ht="27.75" customHeight="1">
      <x:c r="A1" s="11" t="str">
        <x:v>Nature Adhesion Ontology — Biological Attachment Logic → Engineering Reasoning</x:v>
      </x:c>
      <x:c r="B1" s="11"/>
      <x:c r="C1" s="11"/>
      <x:c r="D1" s="11"/>
      <x:c r="E1" s="11"/>
      <x:c r="F1" s="11"/>
      <x:c r="G1" s="11"/>
      <x:c r="H1" s="13"/>
      <x:c r="I1" s="13"/>
      <x:c r="J1" s="13"/>
      <x:c r="L1" s="10" t="str">
        <x:v>50-paper mapping snapshot</x:v>
      </x:c>
      <x:c r="M1" s="10"/>
    </x:row>
    <x:row r="2" ht="33.75" customHeight="1">
      <x:c r="A2" s="9" t="str">
        <x:v>Built from the Nature Repair Ontology v2 architecture. Primary strategy layer = 15 reusable adhesion mechanisms. Core reasoning architecture: PREPARE → APPROACH / RECOGNIZE → CONFORM / CONTACT → ENGAGE → HOLD / LOAD SHARE → RELEASE / RESET / VERIFY.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9">
      <x:c r="L3" s="14" t="str">
        <x:v>Strategy</x:v>
      </x:c>
      <x:c r="M3" s="14" t="str">
        <x:v>Mapped evidence links</x:v>
      </x:c>
    </x:row>
    <x:row r="4" ht="33.75" customHeight="1">
      <x:c r="A4" s="8" t="str">
        <x:v>Attachment architecture: the sequence the engine should reason through</x:v>
      </x:c>
      <x:c r="B4" s="8"/>
      <x:c r="C4" s="8"/>
      <x:c r="D4" s="8"/>
      <x:c r="E4" s="8"/>
      <x:c r="F4" s="8"/>
      <x:c r="G4" s="8"/>
      <x:c r="H4" s="8"/>
      <x:c r="I4" s="8"/>
      <x:c r="J4" s="8"/>
      <x:c r="L4" s="15" t="str">
        <x:f t="shared" ref="L4:L19" si="0">A15&amp;" "&amp;B15</x:f>
        <x:v>NA01 Split contact into many small contacts</x:v>
      </x:c>
      <x:c r="M4" s="16" t="n">
        <x:f t="shared" ref="M4:M19" si="1">J15</x:f>
        <x:v>7</x:v>
      </x:c>
    </x:row>
    <x:row r="5">
      <x:c r="A5" s="14" t="str">
        <x:v>Phase</x:v>
      </x:c>
      <x:c r="B5" s="14" t="str">
        <x:v>Core question</x:v>
      </x:c>
      <x:c r="C5" s="14" t="str">
        <x:v>Nature logic</x:v>
      </x:c>
      <x:c r="D5" s="14" t="str">
        <x:v>Key ontology fields</x:v>
      </x:c>
      <x:c r="E5" s="14" t="str">
        <x:v>Representative strategies</x:v>
      </x:c>
      <x:c r="F5" s="17"/>
      <x:c r="G5" s="18"/>
      <x:c r="I5" s="19"/>
      <x:c r="J5" s="19"/>
      <x:c r="L5" s="15" t="str">
        <x:f t="shared" si="0">A16&amp;" "&amp;B16</x:f>
        <x:v>NA02 Build hierarchy across scales</x:v>
      </x:c>
      <x:c r="M5" s="16" t="n">
        <x:f t="shared" si="1">J16</x:f>
        <x:v>7</x:v>
      </x:c>
    </x:row>
    <x:row r="6" ht="48" customHeight="1">
      <x:c r="A6" s="20" t="str">
        <x:v>0 PREPARE</x:v>
      </x:c>
      <x:c r="B6" s="21" t="str">
        <x:v>What interface and environment must be handled before attachment?</x:v>
      </x:c>
      <x:c r="C6" s="21" t="str">
        <x:v>Reject/clean water or contamination; choose compatible surface state.</x:v>
      </x:c>
      <x:c r="D6" s="21" t="str">
        <x:v>Interface state • substrate • roughness • contamination • fluid</x:v>
      </x:c>
      <x:c r="E6" s="21" t="str">
        <x:v>NA09 Dewet; NA14 environmental adaptation</x:v>
      </x:c>
      <x:c r="F6" s="17"/>
      <x:c r="G6" s="18"/>
      <x:c r="I6" s="19"/>
      <x:c r="J6" s="19"/>
      <x:c r="L6" s="15" t="str">
        <x:f t="shared" si="0">A17&amp;" "&amp;B17</x:f>
        <x:v>NA03 Make adhesion directional / anisotropic</x:v>
      </x:c>
      <x:c r="M6" s="16" t="n">
        <x:f t="shared" si="1">J17</x:f>
        <x:v>6</x:v>
      </x:c>
    </x:row>
    <x:row r="7" ht="48" customHeight="1">
      <x:c r="A7" s="20" t="str">
        <x:v>1 APPROACH / RECOGNIZE</x:v>
      </x:c>
      <x:c r="B7" s="21" t="str">
        <x:v>How should the pad/system approach and orient to the target?</x:v>
      </x:c>
      <x:c r="C7" s="21" t="str">
        <x:v>Orient contacts to load; coordinate multiple units; detect surface state.</x:v>
      </x:c>
      <x:c r="D7" s="21" t="str">
        <x:v>Load vector • orientation • controller • multi-pad geometry</x:v>
      </x:c>
      <x:c r="E7" s="21" t="str">
        <x:v>NA03 Directional; NA13 coordinated contacts</x:v>
      </x:c>
      <x:c r="F7" s="17"/>
      <x:c r="G7" s="18"/>
      <x:c r="I7" s="19"/>
      <x:c r="J7" s="19"/>
      <x:c r="L7" s="15" t="str">
        <x:f t="shared" si="0">A18&amp;" "&amp;B18</x:f>
        <x:v>NA04 Control system compliance and load path</x:v>
      </x:c>
      <x:c r="M7" s="16" t="n">
        <x:f t="shared" si="1">J18</x:f>
        <x:v>12</x:v>
      </x:c>
    </x:row>
    <x:row r="8" ht="48" customHeight="1">
      <x:c r="A8" s="20" t="str">
        <x:v>2 CONFORM / CONTACT</x:v>
      </x:c>
      <x:c r="B8" s="21" t="str">
        <x:v>How is intimate contact created despite roughness, curvature or liquid?</x:v>
      </x:c>
      <x:c r="C8" s="21" t="str">
        <x:v>Split contact; use hierarchy and compliance; drain or displace fluid.</x:v>
      </x:c>
      <x:c r="D8" s="21" t="str">
        <x:v>Contact geometry • real contact area • compliance • drainage</x:v>
      </x:c>
      <x:c r="E8" s="21" t="str">
        <x:v>NA01 Split contact; NA02 hierarchy; NA04 compliance; NA09/NA10 wet-interface prep</x:v>
      </x:c>
      <x:c r="F8" s="17"/>
      <x:c r="G8" s="18"/>
      <x:c r="I8" s="19"/>
      <x:c r="J8" s="19"/>
      <x:c r="L8" s="15" t="str">
        <x:f t="shared" si="0">A19&amp;" "&amp;B19</x:f>
        <x:v>NA05 Trap and arrest detachment cracks</x:v>
      </x:c>
      <x:c r="M8" s="16" t="n">
        <x:f t="shared" si="1">J19</x:f>
        <x:v>2</x:v>
      </x:c>
    </x:row>
    <x:row r="9" ht="48" customHeight="1">
      <x:c r="A9" s="20" t="str">
        <x:v>3 ENGAGE</x:v>
      </x:c>
      <x:c r="B9" s="21" t="str">
        <x:v>What mechanism creates attachment once contact exists?</x:v>
      </x:c>
      <x:c r="C9" s="21" t="str">
        <x:v>Activate vdW, catechol chemistry, suction, capillarity, interlock, coacervate or shape change.</x:v>
      </x:c>
      <x:c r="D9" s="21" t="str">
        <x:v>Interfacial interaction • pressure • molecular anchor • phase state</x:v>
      </x:c>
      <x:c r="E9" s="21" t="str">
        <x:v>NA06 molecular anchoring; NA08 phase delivery; NA10 wet friction/pressure; NA11/NA12 interlock</x:v>
      </x:c>
      <x:c r="F9" s="17"/>
      <x:c r="G9" s="18"/>
      <x:c r="I9" s="19"/>
      <x:c r="J9" s="19"/>
      <x:c r="L9" s="15" t="str">
        <x:f t="shared" si="0">A20&amp;" "&amp;B20</x:f>
        <x:v>NA06 Use reversible molecular surface anchoring</x:v>
      </x:c>
      <x:c r="M9" s="16" t="n">
        <x:f t="shared" si="1">J20</x:f>
        <x:v>14</x:v>
      </x:c>
    </x:row>
    <x:row r="10" ht="48" customHeight="1">
      <x:c r="A10" s="20" t="str">
        <x:v>4 HOLD / LOAD SHARE</x:v>
      </x:c>
      <x:c r="B10" s="21" t="str">
        <x:v>How is force carried without catastrophic detachment?</x:v>
      </x:c>
      <x:c r="C10" s="21" t="str">
        <x:v>Distribute load, arrest cracks, exploit directionality and whole-system coordination.</x:v>
      </x:c>
      <x:c r="D10" s="21" t="str">
        <x:v>Load mode • compliance • crack path • pad coordination</x:v>
      </x:c>
      <x:c r="E10" s="21" t="str">
        <x:v>NA03 directional; NA04 load path; NA05 crack trapping; NA13 multi-pad</x:v>
      </x:c>
      <x:c r="F10" s="17"/>
      <x:c r="G10" s="18"/>
      <x:c r="I10" s="19"/>
      <x:c r="J10" s="19"/>
      <x:c r="L10" s="15" t="str">
        <x:f t="shared" si="0">A21&amp;" "&amp;B21</x:f>
        <x:v>NA07 Combine structural + chemical adhesion</x:v>
      </x:c>
      <x:c r="M10" s="16" t="n">
        <x:f t="shared" si="1">J21</x:f>
        <x:v>10</x:v>
      </x:c>
    </x:row>
    <x:row r="11" ht="48" customHeight="1">
      <x:c r="A11" s="20" t="str">
        <x:v>5 RELEASE / RESET / VERIFY</x:v>
      </x:c>
      <x:c r="B11" s="21" t="str">
        <x:v>How does the system detach safely and recover for the next cycle?</x:v>
      </x:c>
      <x:c r="C11" s="21" t="str">
        <x:v>Peel/reverse shear, vent suction, rewet/soften, reverse stimulus, self-clean, verify state.</x:v>
      </x:c>
      <x:c r="D11" s="21" t="str">
        <x:v>Release mode • trigger • on/off ratio • cycles • contamination</x:v>
      </x:c>
      <x:c r="E11" s="21" t="str">
        <x:v>NA15 state switch; NA03 directional release; NA14 environmental reset</x:v>
      </x:c>
      <x:c r="F11" s="17"/>
      <x:c r="G11" s="18"/>
      <x:c r="I11" s="19"/>
      <x:c r="J11" s="19"/>
      <x:c r="L11" s="15" t="str">
        <x:f t="shared" si="0">A22&amp;" "&amp;B22</x:f>
        <x:v>NA08 Phase-separate and deliver adhesive without dilution</x:v>
      </x:c>
      <x:c r="M11" s="16" t="n">
        <x:f t="shared" si="1">J22</x:f>
        <x:v>4</x:v>
      </x:c>
    </x:row>
    <x:row r="12">
      <x:c r="A12" s="22"/>
      <x:c r="B12" s="17"/>
      <x:c r="C12" s="17"/>
      <x:c r="D12" s="17"/>
      <x:c r="E12" s="17"/>
      <x:c r="F12" s="17"/>
      <x:c r="G12" s="18"/>
      <x:c r="I12" s="19"/>
      <x:c r="J12" s="19"/>
      <x:c r="L12" s="15" t="str">
        <x:f t="shared" si="0">A23&amp;" "&amp;B23</x:f>
        <x:v>NA09 Dewet the interface before attaching</x:v>
      </x:c>
      <x:c r="M12" s="16" t="n">
        <x:f t="shared" si="1">J23</x:f>
        <x:v>1</x:v>
      </x:c>
    </x:row>
    <x:row r="13" ht="15" customHeight="1">
      <x:c r="A13" s="10" t="str">
        <x:v>15 reusable Nature Adhesion strategies</x:v>
      </x:c>
      <x:c r="B13" s="10"/>
      <x:c r="C13" s="10"/>
      <x:c r="D13" s="10"/>
      <x:c r="E13" s="10"/>
      <x:c r="F13" s="10"/>
      <x:c r="G13" s="10"/>
      <x:c r="H13" s="10"/>
      <x:c r="I13" s="10"/>
      <x:c r="J13" s="10"/>
      <x:c r="L13" s="15" t="str">
        <x:f t="shared" si="0">A24&amp;" "&amp;B24</x:f>
        <x:v>NA10 Generate wet friction through drainage and edge density</x:v>
      </x:c>
      <x:c r="M13" s="16" t="n">
        <x:f t="shared" si="1">J24</x:f>
        <x:v>15</x:v>
      </x:c>
    </x:row>
    <x:row r="14" ht="29">
      <x:c r="A14" s="14" t="str">
        <x:v>ID</x:v>
      </x:c>
      <x:c r="B14" s="14" t="str">
        <x:v>Strategy</x:v>
      </x:c>
      <x:c r="C14" s="14" t="str">
        <x:v>Primary phase</x:v>
      </x:c>
      <x:c r="D14" s="14" t="str">
        <x:v>Biological primitive</x:v>
      </x:c>
      <x:c r="E14" s="14" t="str">
        <x:v>Representative biological models</x:v>
      </x:c>
      <x:c r="F14" s="14" t="str">
        <x:v>Abstract engineering rule</x:v>
      </x:c>
      <x:c r="G14" s="14" t="str">
        <x:v>Typical trigger</x:v>
      </x:c>
      <x:c r="H14" s="14" t="str">
        <x:v>Repeatability</x:v>
      </x:c>
      <x:c r="I14" s="14" t="str">
        <x:v>Primary trade-off</x:v>
      </x:c>
      <x:c r="J14" s="14" t="str">
        <x:v>50-paper links*</x:v>
      </x:c>
      <x:c r="L14" s="15" t="str">
        <x:f t="shared" si="0">A25&amp;" "&amp;B25</x:f>
        <x:v>NA11 Mechanically interlock after penetration</x:v>
      </x:c>
      <x:c r="M14" s="16" t="n">
        <x:f t="shared" si="1">J25</x:f>
        <x:v>2</x:v>
      </x:c>
    </x:row>
    <x:row r="15" ht="60" customHeight="1">
      <x:c r="A15" s="20" t="str">
        <x:v>NA01</x:v>
      </x:c>
      <x:c r="B15" s="20" t="str">
        <x:v>Split contact into many small contacts</x:v>
      </x:c>
      <x:c r="C15" s="21" t="str">
        <x:v>2 Conform / 3 Engage / 4 Hold</x:v>
      </x:c>
      <x:c r="D15" s="21" t="str">
        <x:v>P02 Contact splitting; P01 van der Waals attraction</x:v>
      </x:c>
      <x:c r="E15" s="21" t="str">
        <x:v>Gecko setae/spatulae; spider scopulae; beetle adhesive hairs</x:v>
      </x:c>
      <x:c r="F15" s="21" t="str">
        <x:v>Replace a single large contact with many subcritical contacts so local conformity increases and failure is distributed.</x:v>
      </x:c>
      <x:c r="G15" s="21" t="str">
        <x:v>Preload + local contact; usually passive</x:v>
      </x:c>
      <x:c r="H15" s="21" t="str">
        <x:v>Highly repeatable if clean</x:v>
      </x:c>
      <x:c r="I15" s="21" t="str">
        <x:v>Microfeatures can foul, collapse, or lose contact on very rough surfaces</x:v>
      </x:c>
      <x:c r="J15" s="23" t="n">
        <x:f>COUNTIF('Paper→Ontology'!$E$5:$E$54,A15)+COUNTIF('Paper→Ontology'!$F$5:$F$54,A15)</x:f>
        <x:v>7</x:v>
      </x:c>
      <x:c r="L15" s="15" t="str">
        <x:f t="shared" si="0">A26&amp;" "&amp;B26</x:f>
        <x:v>NA12 Change shape after attachment</x:v>
      </x:c>
      <x:c r="M15" s="16" t="n">
        <x:f t="shared" si="1">J26</x:f>
        <x:v>1</x:v>
      </x:c>
    </x:row>
    <x:row r="16" ht="60" customHeight="1">
      <x:c r="A16" s="20" t="str">
        <x:v>NA02</x:v>
      </x:c>
      <x:c r="B16" s="20" t="str">
        <x:v>Build hierarchy across scales</x:v>
      </x:c>
      <x:c r="C16" s="21" t="str">
        <x:v>2 Conform / 3 Engage / 4 Hold</x:v>
      </x:c>
      <x:c r="D16" s="21" t="str">
        <x:v>P03 Hierarchical fibrils; P02 contact splitting</x:v>
      </x:c>
      <x:c r="E16" s="21" t="str">
        <x:v>Gecko lamellae→setae→spatulae; spider branched setae</x:v>
      </x:c>
      <x:c r="F16" s="21" t="str">
        <x:v>Allocate different length scales to different jobs: large scales for placement/load transfer, small scales for intimate contact.</x:v>
      </x:c>
      <x:c r="G16" s="21" t="str">
        <x:v>Preload + shear engagement</x:v>
      </x:c>
      <x:c r="H16" s="21" t="str">
        <x:v>Repeatable</x:v>
      </x:c>
      <x:c r="I16" s="21" t="str">
        <x:v>Complex fabrication and scale-up; hierarchical defects can dominate failure</x:v>
      </x:c>
      <x:c r="J16" s="23" t="n">
        <x:f>COUNTIF('Paper→Ontology'!$E$5:$E$54,A16)+COUNTIF('Paper→Ontology'!$F$5:$F$54,A16)</x:f>
        <x:v>7</x:v>
      </x:c>
      <x:c r="L16" s="15" t="str">
        <x:f t="shared" si="0">A27&amp;" "&amp;B27</x:f>
        <x:v>NA13 Coordinate multiple adhesive units as a system</x:v>
      </x:c>
      <x:c r="M16" s="16" t="n">
        <x:f t="shared" si="1">J27</x:f>
        <x:v>4</x:v>
      </x:c>
    </x:row>
    <x:row r="17" ht="60" customHeight="1">
      <x:c r="A17" s="20" t="str">
        <x:v>NA03</x:v>
      </x:c>
      <x:c r="B17" s="20" t="str">
        <x:v>Make adhesion directional / anisotropic</x:v>
      </x:c>
      <x:c r="C17" s="24" t="str">
        <x:v>3 Engage / 4 Hold / 5 Release</x:v>
      </x:c>
      <x:c r="D17" s="24" t="str">
        <x:v>P04 Directional shear engagement / peeling</x:v>
      </x:c>
      <x:c r="E17" s="24" t="str">
        <x:v>Gecko angled setae and toe curling; spider anisotropic setae</x:v>
      </x:c>
      <x:c r="F17" s="24" t="str">
        <x:v>Encode different attachment and release pathways into geometry and loading direction.</x:v>
      </x:c>
      <x:c r="G17" s="24" t="str">
        <x:v>Shear direction / toe angle / peel angle</x:v>
      </x:c>
      <x:c r="H17" s="21" t="str">
        <x:v>Highly repeatable</x:v>
      </x:c>
      <x:c r="I17" s="21" t="str">
        <x:v>Works poorly if load direction is unpredictable or pad cannot orient</x:v>
      </x:c>
      <x:c r="J17" s="23" t="n">
        <x:f>COUNTIF('Paper→Ontology'!$E$5:$E$54,A17)+COUNTIF('Paper→Ontology'!$F$5:$F$54,A17)</x:f>
        <x:v>6</x:v>
      </x:c>
      <x:c r="L17" s="15" t="str">
        <x:f t="shared" si="0">A28&amp;" "&amp;B28</x:f>
        <x:v>NA14 Regulate adhesion using environmental conditions</x:v>
      </x:c>
      <x:c r="M17" s="16" t="n">
        <x:f t="shared" si="1">J28</x:f>
        <x:v>3</x:v>
      </x:c>
    </x:row>
    <x:row r="18" ht="60" customHeight="1">
      <x:c r="A18" s="25" t="str">
        <x:v>NA04</x:v>
      </x:c>
      <x:c r="B18" s="25" t="str">
        <x:v>Control system compliance and load path</x:v>
      </x:c>
      <x:c r="C18" s="26" t="str">
        <x:v>2 Conform / 4 Hold</x:v>
      </x:c>
      <x:c r="D18" s="26" t="str">
        <x:v>P05 Compliance matching / anisotropic stiffness</x:v>
      </x:c>
      <x:c r="E18" s="21" t="str">
        <x:v>Gecko soft toe pad + stiff tendon/bone load path; tree-frog compliant pad</x:v>
      </x:c>
      <x:c r="F18" s="21" t="str">
        <x:v>Design the entire load path, not just the surface: be compliant where contact is needed and stiff where force must be transmitted.</x:v>
      </x:c>
      <x:c r="G18" s="21" t="str">
        <x:v>Preload + applied load</x:v>
      </x:c>
      <x:c r="H18" s="21" t="str">
        <x:v>Repeatable</x:v>
      </x:c>
      <x:c r="I18" s="21" t="str">
        <x:v>Too much compliance causes creep; too little reduces contact</x:v>
      </x:c>
      <x:c r="J18" s="23" t="n">
        <x:f>COUNTIF('Paper→Ontology'!$E$5:$E$54,A18)+COUNTIF('Paper→Ontology'!$F$5:$F$54,A18)</x:f>
        <x:v>12</x:v>
      </x:c>
      <x:c r="L18" s="15" t="str">
        <x:f t="shared" si="0">A29&amp;" "&amp;B29</x:f>
        <x:v>NA15 Switch material state to attach / release</x:v>
      </x:c>
      <x:c r="M18" s="16" t="n">
        <x:f t="shared" si="1">J29</x:f>
        <x:v>12</x:v>
      </x:c>
    </x:row>
    <x:row r="19" ht="60" customHeight="1">
      <x:c r="A19" s="20" t="str">
        <x:v>NA05</x:v>
      </x:c>
      <x:c r="B19" s="20" t="str">
        <x:v>Trap and arrest detachment cracks</x:v>
      </x:c>
      <x:c r="C19" s="21" t="str">
        <x:v>4 Hold / 5 Release</x:v>
      </x:c>
      <x:c r="D19" s="21" t="str">
        <x:v>P06 Crack trapping / stress redistribution</x:v>
      </x:c>
      <x:c r="E19" s="21" t="str">
        <x:v>Fibrillar biological attachment pads; mushroom/film-terminated structures</x:v>
      </x:c>
      <x:c r="F19" s="21" t="str">
        <x:v>Increase adhesion by controlling how failure propagates, not only by increasing bond strength.</x:v>
      </x:c>
      <x:c r="G19" s="21" t="str">
        <x:v>Interfacial crack growth under load</x:v>
      </x:c>
      <x:c r="H19" s="21" t="str">
        <x:v>Repeatable if no structural damage</x:v>
      </x:c>
      <x:c r="I19" s="21" t="str">
        <x:v>Higher toughness can increase release energy</x:v>
      </x:c>
      <x:c r="J19" s="23" t="n">
        <x:f>COUNTIF('Paper→Ontology'!$E$5:$E$54,A19)+COUNTIF('Paper→Ontology'!$F$5:$F$54,A19)</x:f>
        <x:v>2</x:v>
      </x:c>
      <x:c r="L19" s="15">
        <x:f t="shared" si="0"/>
      </x:c>
      <x:c r="M19" s="16">
        <x:f t="shared" si="1"/>
      </x:c>
    </x:row>
    <x:row r="20" ht="60" customHeight="1">
      <x:c r="A20" s="20" t="str">
        <x:v>NA06</x:v>
      </x:c>
      <x:c r="B20" s="20" t="str">
        <x:v>Use reversible molecular surface anchoring</x:v>
      </x:c>
      <x:c r="C20" s="21" t="str">
        <x:v>3 Engage / 4 Hold</x:v>
      </x:c>
      <x:c r="D20" s="21" t="str">
        <x:v>P07 Catechol / hydrogen-bond / coordination anchoring</x:v>
      </x:c>
      <x:c r="E20" s="21" t="str">
        <x:v>Mussel foot proteins rich in DOPA/catechol; adhesive peptides</x:v>
      </x:c>
      <x:c r="F20" s="21" t="str">
        <x:v>Use multiple complementary weak/strong interactions at the interface so adhesion survives water and surface chemistry variability.</x:v>
      </x:c>
      <x:c r="G20" s="21" t="str">
        <x:v>Contact; pH/ions/oxidation can modulate</x:v>
      </x:c>
      <x:c r="H20" s="21" t="str">
        <x:v>Repeatable if bonds reversible; otherwise limited</x:v>
      </x:c>
      <x:c r="I20" s="21" t="str">
        <x:v>Oxidation state and curing can trade reversibility for strength</x:v>
      </x:c>
      <x:c r="J20" s="23" t="n">
        <x:f>COUNTIF('Paper→Ontology'!$E$5:$E$54,A20)+COUNTIF('Paper→Ontology'!$F$5:$F$54,A20)</x:f>
        <x:v>14</x:v>
      </x:c>
    </x:row>
    <x:row r="21" ht="60" customHeight="1">
      <x:c r="A21" s="20" t="str">
        <x:v>NA07</x:v>
      </x:c>
      <x:c r="B21" s="20" t="str">
        <x:v>Combine structural + chemical adhesion</x:v>
      </x:c>
      <x:c r="C21" s="21" t="str">
        <x:v>2 Conform / 3 Engage / 4 Hold</x:v>
      </x:c>
      <x:c r="D21" s="21" t="str">
        <x:v>P02/P03 structural contact + P07 molecular anchoring; P12 suction where relevant</x:v>
      </x:c>
      <x:c r="E21" s="21" t="str">
        <x:v>Mussel + gecko hybrids; protein-coated octopus micro-suckers; clingfish-inspired wet pads</x:v>
      </x:c>
      <x:c r="F21" s="21" t="str">
        <x:v>Assign contact formation and interfacial bonding to separate mechanisms, then combine them rather than forcing one mechanism to solve both.</x:v>
      </x:c>
      <x:c r="G21" s="21" t="str">
        <x:v>Contact + environment</x:v>
      </x:c>
      <x:c r="H21" s="21" t="str">
        <x:v>Often repeatable; chemistry-dependent</x:v>
      </x:c>
      <x:c r="I21" s="21" t="str">
        <x:v>More functions increase materials/process complexity</x:v>
      </x:c>
      <x:c r="J21" s="23" t="n">
        <x:f>COUNTIF('Paper→Ontology'!$E$5:$E$54,A21)+COUNTIF('Paper→Ontology'!$F$5:$F$54,A21)</x:f>
        <x:v>10</x:v>
      </x:c>
    </x:row>
    <x:row r="22" ht="60" customHeight="1">
      <x:c r="A22" s="20" t="str">
        <x:v>NA08</x:v>
      </x:c>
      <x:c r="B22" s="20" t="str">
        <x:v>Phase-separate and deliver adhesive without dilution</x:v>
      </x:c>
      <x:c r="C22" s="21" t="str">
        <x:v>3 Engage</x:v>
      </x:c>
      <x:c r="D22" s="21" t="str">
        <x:v>P08 Coacervation / liquid-liquid phase separation</x:v>
      </x:c>
      <x:c r="E22" s="21" t="str">
        <x:v>Mussel adhesive protein coacervates</x:v>
      </x:c>
      <x:c r="F22" s="21" t="str">
        <x:v>Separate delivery from curing: first create a dense mobile phase that reaches the target, then lock it in place.</x:v>
      </x:c>
      <x:c r="G22" s="21" t="str">
        <x:v>Ionic strength / pH / molecular interactions</x:v>
      </x:c>
      <x:c r="H22" s="21" t="str">
        <x:v>Depends on replenishment</x:v>
      </x:c>
      <x:c r="I22" s="21" t="str">
        <x:v>Phase stability window can be narrow</x:v>
      </x:c>
      <x:c r="J22" s="23" t="n">
        <x:f>COUNTIF('Paper→Ontology'!$E$5:$E$54,A22)+COUNTIF('Paper→Ontology'!$F$5:$F$54,A22)</x:f>
        <x:v>4</x:v>
      </x:c>
    </x:row>
    <x:row r="23" ht="60" customHeight="1">
      <x:c r="A23" s="20" t="str">
        <x:v>NA09</x:v>
      </x:c>
      <x:c r="B23" s="20" t="str">
        <x:v>Dewet the interface before attaching</x:v>
      </x:c>
      <x:c r="C23" s="21" t="str">
        <x:v>2 Conform / 3 Engage</x:v>
      </x:c>
      <x:c r="D23" s="21" t="str">
        <x:v>P09 Dewetting / retained gas layer</x:v>
      </x:c>
      <x:c r="E23" s="21" t="str">
        <x:v>Leaf beetle underwater attachment using trapped air bubbles</x:v>
      </x:c>
      <x:c r="F23" s="21" t="str">
        <x:v>Treat interfacial liquid as an obstacle to remove locally before trying to bond through it.</x:v>
      </x:c>
      <x:c r="G23" s="21" t="str">
        <x:v>Immersion + hydrophobic contact</x:v>
      </x:c>
      <x:c r="H23" s="21" t="str">
        <x:v>Repeatable if gas retained/replenished</x:v>
      </x:c>
      <x:c r="I23" s="21" t="str">
        <x:v>Gas layer is pressure- and time-sensitive</x:v>
      </x:c>
      <x:c r="J23" s="23" t="n">
        <x:f>COUNTIF('Paper→Ontology'!$E$5:$E$54,A23)+COUNTIF('Paper→Ontology'!$F$5:$F$54,A23)</x:f>
        <x:v>1</x:v>
      </x:c>
    </x:row>
    <x:row r="24" ht="60" customHeight="1">
      <x:c r="A24" s="20" t="str">
        <x:v>NA10</x:v>
      </x:c>
      <x:c r="B24" s="20" t="str">
        <x:v>Generate wet friction through drainage and edge density</x:v>
      </x:c>
      <x:c r="C24" s="21" t="str">
        <x:v>2 Conform / 3 Engage / 4 Hold</x:v>
      </x:c>
      <x:c r="D24" s="21" t="str">
        <x:v>P10 Liquid drainage/capillary bridges; P11 viscous dissipation; P12 suction pressure; P13 wet friction</x:v>
      </x:c>
      <x:c r="E24" s="21" t="str">
        <x:v>Tree frog / torrent frog toe pads; clingfish discs; octopus suckers</x:v>
      </x:c>
      <x:c r="F24" s="21" t="str">
        <x:v>Manage the interfacial liquid layer rather than ignoring it: provide drainage paths, many edges, compliant contact and/or local pressure differential.</x:v>
      </x:c>
      <x:c r="G24" s="21" t="str">
        <x:v>Contact in presence of liquid; sometimes active pressure change</x:v>
      </x:c>
      <x:c r="H24" s="21" t="str">
        <x:v>Repeatable while geometry/fluid maintained</x:v>
      </x:c>
      <x:c r="I24" s="21" t="str">
        <x:v>Performance depends strongly on fluid properties, roughness and drainage time</x:v>
      </x:c>
      <x:c r="J24" s="23" t="n">
        <x:f>COUNTIF('Paper→Ontology'!$E$5:$E$54,A24)+COUNTIF('Paper→Ontology'!$F$5:$F$54,A24)</x:f>
        <x:v>15</x:v>
      </x:c>
    </x:row>
    <x:row r="25" ht="60" customHeight="1">
      <x:c r="A25" s="20" t="str">
        <x:v>NA11</x:v>
      </x:c>
      <x:c r="B25" s="20" t="str">
        <x:v>Mechanically interlock after penetration</x:v>
      </x:c>
      <x:c r="C25" s="21" t="str">
        <x:v>3 Engage / 4 Hold</x:v>
      </x:c>
      <x:c r="D25" s="21" t="str">
        <x:v>P14 Barbs / asymmetric mechanical interlocking</x:v>
      </x:c>
      <x:c r="E25" s="21" t="str">
        <x:v>Porcupine quill barbs; parasite attachment structures</x:v>
      </x:c>
      <x:c r="F25" s="21" t="str">
        <x:v>Use asymmetric geometry so entry and removal follow different mechanical pathways.</x:v>
      </x:c>
      <x:c r="G25" s="21" t="str">
        <x:v>Insertion into compliant substrate</x:v>
      </x:c>
      <x:c r="H25" s="21" t="str">
        <x:v>Usually finite; tissue-dependent</x:v>
      </x:c>
      <x:c r="I25" s="21" t="str">
        <x:v>Invasive attachment can damage substrate</x:v>
      </x:c>
      <x:c r="J25" s="23" t="n">
        <x:f>COUNTIF('Paper→Ontology'!$E$5:$E$54,A25)+COUNTIF('Paper→Ontology'!$F$5:$F$54,A25)</x:f>
        <x:v>2</x:v>
      </x:c>
    </x:row>
    <x:row r="26" ht="60" customHeight="1">
      <x:c r="A26" s="20" t="str">
        <x:v>NA12</x:v>
      </x:c>
      <x:c r="B26" s="20" t="str">
        <x:v>Change shape after attachment</x:v>
      </x:c>
      <x:c r="C26" s="21" t="str">
        <x:v>3 Engage / 4 Hold / 5 Release</x:v>
      </x:c>
      <x:c r="D26" s="21" t="str">
        <x:v>P15 Post-attachment swelling / geometric transformation</x:v>
      </x:c>
      <x:c r="E26" s="21" t="str">
        <x:v>Spiny-headed worm proboscis; swelling tissue anchors</x:v>
      </x:c>
      <x:c r="F26" s="21" t="str">
        <x:v>Decouple placement geometry from holding geometry by transforming only after the interface is established.</x:v>
      </x:c>
      <x:c r="G26" s="21" t="str">
        <x:v>Water / chemical / temperature / stimulus</x:v>
      </x:c>
      <x:c r="H26" s="21" t="str">
        <x:v>Potentially repeatable if reversible</x:v>
      </x:c>
      <x:c r="I26" s="21" t="str">
        <x:v>Response speed and environmental dependence</x:v>
      </x:c>
      <x:c r="J26" s="23" t="n">
        <x:f>COUNTIF('Paper→Ontology'!$E$5:$E$54,A26)+COUNTIF('Paper→Ontology'!$F$5:$F$54,A26)</x:f>
        <x:v>1</x:v>
      </x:c>
    </x:row>
    <x:row r="27" ht="60" customHeight="1">
      <x:c r="A27" s="20" t="str">
        <x:v>NA13</x:v>
      </x:c>
      <x:c r="B27" s="20" t="str">
        <x:v>Coordinate multiple adhesive units as a system</x:v>
      </x:c>
      <x:c r="C27" s="21" t="str">
        <x:v>1 Approach / 3 Engage / 4 Hold / 5 Release</x:v>
      </x:c>
      <x:c r="D27" s="21" t="str">
        <x:v>P16 Cooperative/antagonistic multi-pad loading</x:v>
      </x:c>
      <x:c r="E27" s="21" t="str">
        <x:v>Spider opposing legs; gecko multi-digit feet</x:v>
      </x:c>
      <x:c r="F27" s="21" t="str">
        <x:v>Optimize the arrangement and coordination of contacts, not only the performance of each contact in isolation.</x:v>
      </x:c>
      <x:c r="G27" s="21" t="str">
        <x:v>Body posture / load vector / sensory-motor control</x:v>
      </x:c>
      <x:c r="H27" s="21" t="str">
        <x:v>Highly repeatable</x:v>
      </x:c>
      <x:c r="I27" s="21" t="str">
        <x:v>Requires control/geometry coordination</x:v>
      </x:c>
      <x:c r="J27" s="23" t="n">
        <x:f>COUNTIF('Paper→Ontology'!$E$5:$E$54,A27)+COUNTIF('Paper→Ontology'!$F$5:$F$54,A27)</x:f>
        <x:v>4</x:v>
      </x:c>
    </x:row>
    <x:row r="28" ht="60" customHeight="1">
      <x:c r="A28" s="20" t="str">
        <x:v>NA14</x:v>
      </x:c>
      <x:c r="B28" s="20" t="str">
        <x:v>Regulate adhesion using environmental conditions</x:v>
      </x:c>
      <x:c r="C28" s="21" t="str">
        <x:v>3 Engage / 4 Hold / 5 Reset</x:v>
      </x:c>
      <x:c r="D28" s="21" t="str">
        <x:v>P11 Viscous-rate dependence; P17 humidity buffering / environmental adaptation</x:v>
      </x:c>
      <x:c r="E28" s="21" t="str">
        <x:v>Bee-collected pollen fluid; spider viscid glue; humidity-responsive gecko/insect pads</x:v>
      </x:c>
      <x:c r="F28" s="21" t="str">
        <x:v>Use environmental variables as controllable design inputs, and add a buffering layer when those variables would otherwise destabilize adhesion.</x:v>
      </x:c>
      <x:c r="G28" s="21" t="str">
        <x:v>Humidity / rate / temperature</x:v>
      </x:c>
      <x:c r="H28" s="21" t="str">
        <x:v>Repeatable if environment cycles reversibly</x:v>
      </x:c>
      <x:c r="I28" s="21" t="str">
        <x:v>Adaptation may be beneficial only within a narrow optimum window</x:v>
      </x:c>
      <x:c r="J28" s="23" t="n">
        <x:f>COUNTIF('Paper→Ontology'!$E$5:$E$54,A28)+COUNTIF('Paper→Ontology'!$F$5:$F$54,A28)</x:f>
        <x:v>3</x:v>
      </x:c>
    </x:row>
    <x:row r="29" ht="60" customHeight="1">
      <x:c r="A29" s="20" t="str">
        <x:v>NA15</x:v>
      </x:c>
      <x:c r="B29" s="20" t="str">
        <x:v>Switch material state to attach / release</x:v>
      </x:c>
      <x:c r="C29" s="21" t="str">
        <x:v>3 Engage / 4 Hold / 5 Release-Reset</x:v>
      </x:c>
      <x:c r="D29" s="21" t="str">
        <x:v>P18 Reversible state change / active switching</x:v>
      </x:c>
      <x:c r="E29" s="21" t="str">
        <x:v>Snail epiphragm; gecko toe motion; octopus active suckers; stimuli-responsive mussel-inspired systems</x:v>
      </x:c>
      <x:c r="F29" s="21" t="str">
        <x:v>Engineer a large, reliable difference between attachment state and release state rather than compromising at one intermediate adhesion level.</x:v>
      </x:c>
      <x:c r="G29" s="21" t="str">
        <x:v>Water, heat, light, magnetic field, electric field, shear, pH, geometry change</x:v>
      </x:c>
      <x:c r="H29" s="21" t="str">
        <x:v>Designed for many cycles</x:v>
      </x:c>
      <x:c r="I29" s="21" t="str">
        <x:v>External trigger, response time and hysteresis add complexity</x:v>
      </x:c>
      <x:c r="J29" s="23" t="n">
        <x:f>COUNTIF('Paper→Ontology'!$E$5:$E$54,A29)+COUNTIF('Paper→Ontology'!$F$5:$F$54,A29)</x:f>
        <x:v>12</x:v>
      </x:c>
    </x:row>
    <x:row r="30" ht="60" customHeight="1">
      <x:c r="A30" s="20"/>
      <x:c r="B30" s="20"/>
      <x:c r="C30" s="21"/>
      <x:c r="D30" s="21"/>
      <x:c r="E30" s="21"/>
      <x:c r="F30" s="21"/>
      <x:c r="G30" s="21"/>
      <x:c r="H30" s="21"/>
      <x:c r="I30" s="21"/>
      <x:c r="J30" s="23"/>
    </x:row>
    <x:row r="31">
      <x:c r="A31" t="str">
        <x:v>Reasoning priorities — what the engine should ask before retrieving organisms</x:v>
      </x:c>
    </x:row>
    <x:row r="32" ht="15" customHeight="1">
      <x:c r="A32" s="10" t="str">
        <x:v>Question</x:v>
      </x:c>
      <x:c r="B32" s="10" t="str">
        <x:v>Why it matters</x:v>
      </x:c>
      <x:c r="C32" s="10" t="str">
        <x:v>Ontology fields / metrics</x:v>
      </x:c>
      <x:c r="D32" s="10" t="str">
        <x:v>Example strategy effect</x:v>
      </x:c>
      <x:c r="E32" s="10"/>
      <x:c r="F32" s="10"/>
      <x:c r="G32" s="10"/>
      <x:c r="H32" s="10"/>
      <x:c r="I32" s="10"/>
      <x:c r="J32" s="10"/>
    </x:row>
    <x:row r="33">
      <x:c r="A33" s="14" t="str">
        <x:v>Is the interface dry, humid, wet, flooded or underwater?</x:v>
      </x:c>
      <x:c r="B33" s="14" t="str">
        <x:v>The dominant physics changes completely.</x:v>
      </x:c>
      <x:c r="C33" s="14" t="str">
        <x:v>Interface_State; Fluid_Type; E14; E20</x:v>
      </x:c>
      <x:c r="D33" s="14" t="str">
        <x:v>Dry may favor NA01; underwater may require NA06, NA09 or NA10.</x:v>
      </x:c>
    </x:row>
    <x:row r="34" ht="45" customHeight="1">
      <x:c r="A34" s="20" t="str">
        <x:v>What load dominates: normal, shear, peel or mixed?</x:v>
      </x:c>
      <x:c r="B34" s="21" t="str">
        <x:v>Directionality and crack propagation can matter more than peak tack.</x:v>
      </x:c>
      <x:c r="C34" s="21" t="str">
        <x:v>Target_Load_Mode; E01–E04; E08</x:v>
      </x:c>
      <x:c r="D34" s="21" t="str">
        <x:v>NA03/NA05 become central under peel/shear.</x:v>
      </x:c>
    </x:row>
    <x:row r="35" ht="45" customHeight="1">
      <x:c r="A35" s="20" t="str">
        <x:v>Is high load or easy release more important—or both?</x:v>
      </x:c>
      <x:c r="B35" s="21" t="str">
        <x:v>The design target is often an on/off ratio, not maximum force alone.</x:v>
      </x:c>
      <x:c r="C35" s="21" t="str">
        <x:v>Desired release; E09,E10</x:v>
      </x:c>
      <x:c r="D35" s="21" t="str">
        <x:v>NA15 or NA03 if rapid release matters.</x:v>
      </x:c>
    </x:row>
    <x:row r="36" ht="45" customHeight="1">
      <x:c r="A36" s="20" t="str">
        <x:v>Can the target form a reliable seal?</x:v>
      </x:c>
      <x:c r="B36" s="21" t="str">
        <x:v>Suction fails if the perimeter leaks.</x:v>
      </x:c>
      <x:c r="C36" s="21" t="str">
        <x:v>Substrate_Roughness; Pressure_Differential; E18</x:v>
      </x:c>
      <x:c r="D36" s="21" t="str">
        <x:v>Reject suction-heavy NA10 when seal cannot form.</x:v>
      </x:c>
    </x:row>
    <x:row r="37" ht="45" customHeight="1">
      <x:c r="A37" s="20" t="str">
        <x:v>Can water be removed locally?</x:v>
      </x:c>
      <x:c r="B37" s="21" t="str">
        <x:v>Physical wet adhesion may be easier after dewetting than bonding through water.</x:v>
      </x:c>
      <x:c r="C37" s="21" t="str">
        <x:v>Liquid_Management; E20</x:v>
      </x:c>
      <x:c r="D37" s="21" t="str">
        <x:v>NA09 may precede NA10.</x:v>
      </x:c>
    </x:row>
    <x:row r="38" ht="45" customHeight="1">
      <x:c r="A38" s="20" t="str">
        <x:v>Does the whole load path flex?</x:v>
      </x:c>
      <x:c r="B38" s="21" t="str">
        <x:v>Large pads are controlled by system compliance, not only surface chemistry.</x:v>
      </x:c>
      <x:c r="C38" s="21" t="str">
        <x:v>System_Compliance; E07</x:v>
      </x:c>
      <x:c r="D38" s="21" t="str">
        <x:v>NA04 can outperform finer microfeatures.</x:v>
      </x:c>
    </x:row>
    <x:row r="39" ht="45" customHeight="1">
      <x:c r="A39" s="20" t="str">
        <x:v>Will humidity, contamination or rate vary in service?</x:v>
      </x:c>
      <x:c r="B39" s="21" t="str">
        <x:v>A lab optimum may be unstable in the field.</x:v>
      </x:c>
      <x:c r="C39" s="21" t="str">
        <x:v>Humidity; Contamination; E13,E15,E16</x:v>
      </x:c>
      <x:c r="D39" s="21" t="str">
        <x:v>NA14 and buffering become selection constraints.</x:v>
      </x:c>
    </x:row>
    <x:row r="40" ht="45" customHeight="1">
      <x:c r="A40" s="20" t="str">
        <x:v>Must the attachment be non-invasive?</x:v>
      </x:c>
      <x:c r="B40" s="21" t="str">
        <x:v>Mechanical interlocks may be strong but unsuitable for delicate surfaces.</x:v>
      </x:c>
      <x:c r="C40" s="21" t="str">
        <x:v>Mechanical_Interlock; E19; Release_Damage</x:v>
      </x:c>
      <x:c r="D40" s="21" t="str">
        <x:v>Reject NA11/NA12 when substrate damage is unacceptable.</x:v>
      </x:c>
    </x:row>
    <x:row r="41" ht="45" customHeight="1">
      <x:c r="A41" s="20"/>
      <x:c r="B41" s="21"/>
      <x:c r="C41" s="21"/>
      <x:c r="D41" s="21"/>
    </x:row>
    <x:row r="42" ht="45" customHeight="1">
      <x:c r="A42" s="20" t="str">
        <x:v>Core ontology rule</x:v>
      </x:c>
      <x:c r="B42" s="21"/>
      <x:c r="C42" s="21"/>
      <x:c r="D42" s="21"/>
    </x:row>
    <x:row r="43" ht="45" customHeight="1">
      <x:c r="A43" s="20" t="str">
        <x:v>1</x:v>
      </x:c>
      <x:c r="B43" s="21" t="str">
        <x:v>Start from interface state and load case</x:v>
      </x:c>
      <x:c r="C43" s="21" t="str">
        <x:v>Do not start from organism name.</x:v>
      </x:c>
      <x:c r="D43" s="21" t="str">
        <x:v>Dry/wet/underwater, roughness, curvature, load direction and release requirements define the feasible mechanism space.</x:v>
      </x:c>
      <x:c r="E43"/>
      <x:c r="F43"/>
      <x:c r="G43"/>
      <x:c r="H43"/>
      <x:c r="I43"/>
      <x:c r="J43"/>
    </x:row>
    <x:row r="44">
      <x:c r="A44" t="str">
        <x:v>2</x:v>
      </x:c>
      <x:c r="B44" t="str">
        <x:v>Separate contact formation from holding force</x:v>
      </x:c>
      <x:c r="C44" t="str">
        <x:v>A surface can fail because it never made contact, not because its chemistry is weak.</x:v>
      </x:c>
      <x:c r="D44" t="str">
        <x:v>Use NA01/NA02/NA04/NA09/NA10 to create contact; then select NA06/NA10/NA11/NA12 for holding.</x:v>
      </x:c>
      <x:c r="E44"/>
      <x:c r="F44"/>
      <x:c r="G44"/>
      <x:c r="H44"/>
      <x:c r="I44"/>
      <x:c r="J44"/>
      <x:c r="L44" s="14"/>
      <x:c r="M44" s="14"/>
    </x:row>
    <x:row r="45" ht="46.25" customHeight="1">
      <x:c r="A45" s="7" t="str">
        <x:v>3</x:v>
      </x:c>
      <x:c r="B45" s="7" t="str">
        <x:v>Treat release as a first-class function</x:v>
      </x:c>
      <x:c r="C45" s="7" t="str">
        <x:v>Strong adhesion without a safe release path is often unusable.</x:v>
      </x:c>
      <x:c r="D45" s="7" t="str">
        <x:v>Store release mode, on/off ratio, trigger energy and residual damage for every reversible concept.</x:v>
      </x:c>
      <x:c r="E45" s="7"/>
      <x:c r="F45" s="7"/>
      <x:c r="G45" s="7"/>
      <x:c r="H45" s="7"/>
      <x:c r="I45" s="7"/>
      <x:c r="J45" s="7"/>
      <x:c r="L45" s="15"/>
      <x:c r="M45" s="15"/>
    </x:row>
    <x:row r="46" ht="52">
      <x:c r="A46" t="str">
        <x:v>4</x:v>
      </x:c>
      <x:c r="B46" t="str">
        <x:v>Store negative knowledge</x:v>
      </x:c>
      <x:c r="C46" t="str">
        <x:v>A valid analogy includes when it should be rejected.</x:v>
      </x:c>
      <x:c r="D46" t="str">
        <x:v>Example: reject suction when a reliable perimeter seal cannot form; reject water-triggered release when rain exposure is unavoidable.</x:v>
      </x:c>
      <x:c r="E46"/>
      <x:c r="F46"/>
      <x:c r="G46"/>
      <x:c r="H46"/>
      <x:c r="I46"/>
      <x:c r="J46"/>
      <x:c r="L46" s="15"/>
      <x:c r="M46" s="15"/>
    </x:row>
    <x:row r="47" ht="52">
      <x:c r="L47" s="15"/>
      <x:c r="M47" s="15"/>
    </x:row>
    <x:row r="48" ht="52">
      <x:c r="L48" s="15"/>
      <x:c r="M48" s="15"/>
    </x:row>
  </x:sheetData>
  <x:mergeCells>
    <x:mergeCell ref="A32:J32"/>
    <x:mergeCell ref="A45:J45"/>
    <x:mergeCell ref="A1:G1"/>
    <x:mergeCell ref="L1:M1"/>
    <x:mergeCell ref="A2:J2"/>
    <x:mergeCell ref="A4:J4"/>
    <x:mergeCell ref="A13:J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6328125" defaultRowHeight="14.5"/>
  <x:cols>
    <x:col min="1" max="1" width="10" style="12" customWidth="1"/>
    <x:col min="2" max="2" width="22" style="12" customWidth="1"/>
    <x:col min="3" max="3" width="8" style="12" customWidth="1"/>
    <x:col min="4" max="4" width="42" style="12" customWidth="1"/>
    <x:col min="5" max="6" width="25" style="12" customWidth="1"/>
    <x:col min="7" max="7" width="38" style="12" customWidth="1"/>
    <x:col min="8" max="8" width="43" style="12" customWidth="1"/>
    <x:col min="9" max="9" width="46" style="12" customWidth="1"/>
    <x:col min="10" max="10" width="34" style="12" customWidth="1"/>
    <x:col min="11" max="11" width="32" style="12" customWidth="1"/>
    <x:col min="12" max="12" width="26" style="12" customWidth="1"/>
    <x:col min="13" max="13" width="25" style="12" customWidth="1"/>
    <x:col min="14" max="14" width="22" style="12" customWidth="1"/>
    <x:col min="15" max="15" width="34" style="12" customWidth="1"/>
    <x:col min="16" max="16" width="31" style="12" customWidth="1"/>
    <x:col min="17" max="17" width="24" style="12" customWidth="1"/>
    <x:col min="18" max="18" width="46" style="12" customWidth="1"/>
    <x:col min="19" max="19" width="36" style="12" customWidth="1"/>
    <x:col min="20" max="20" width="18" style="12" customWidth="1"/>
    <x:col min="21" max="21" width="26" style="12" customWidth="1"/>
    <x:col min="22" max="22" width="30" style="12" customWidth="1"/>
    <x:col min="23" max="23" width="22" style="12" customWidth="1"/>
    <x:col min="24" max="24" width="26" style="12" customWidth="1"/>
    <x:col min="25" max="25" width="22" style="12" customWidth="1"/>
  </x:cols>
  <x:sheetData>
    <x:row r="1" ht="33.75" customHeight="1">
      <x:c r="A1" s="27" t="str">
        <x:v>Paper ID</x:v>
      </x:c>
      <x:c r="B1" s="27" t="str">
        <x:v>Cohort</x:v>
      </x:c>
      <x:c r="C1" s="27" t="str">
        <x:v>Year</x:v>
      </x:c>
      <x:c r="D1" s="27" t="str">
        <x:v>Title</x:v>
      </x:c>
      <x:c r="E1" s="27" t="str">
        <x:v>Journal</x:v>
      </x:c>
      <x:c r="F1" s="27" t="str">
        <x:v>Biological model</x:v>
      </x:c>
      <x:c r="G1" s="27" t="str">
        <x:v>Biological challenge</x:v>
      </x:c>
      <x:c r="H1" s="27" t="str">
        <x:v>Mechanism</x:v>
      </x:c>
      <x:c r="I1" s="27" t="str">
        <x:v>Abstracted design principle</x:v>
      </x:c>
      <x:c r="J1" s="27" t="str">
        <x:v>Primary strategy</x:v>
      </x:c>
      <x:c r="K1" s="27" t="str">
        <x:v>Secondary strategy</x:v>
      </x:c>
      <x:c r="L1" s="27" t="str">
        <x:v>Adhesion mode</x:v>
      </x:c>
      <x:c r="M1" s="27" t="str">
        <x:v>Trigger</x:v>
      </x:c>
      <x:c r="N1" s="27" t="str">
        <x:v>Repeatability</x:v>
      </x:c>
      <x:c r="O1" s="27" t="str">
        <x:v>Engineering implementation</x:v>
      </x:c>
      <x:c r="P1" s="27" t="str">
        <x:v>Application domain</x:v>
      </x:c>
      <x:c r="Q1" s="27" t="str">
        <x:v>Citation signal</x:v>
      </x:c>
      <x:c r="R1" s="27" t="str">
        <x:v>Source link (checked at compile)</x:v>
      </x:c>
      <x:c r="S1" s="27" t="str">
        <x:v>Notes</x:v>
      </x:c>
      <x:c r="T1" s="28" t="str">
        <x:v>Maturity level</x:v>
      </x:c>
      <x:c r="U1" s="28" t="str">
        <x:v>Maturity evidence</x:v>
      </x:c>
      <x:c r="V1" s="28" t="str">
        <x:v>Scale-up blocker</x:v>
      </x:c>
      <x:c r="W1" s="29" t="str">
        <x:v>◄ Ontology function</x:v>
      </x:c>
      <x:c r="X1" s="29" t="str">
        <x:v>◄ Ontology strategy</x:v>
      </x:c>
      <x:c r="Y1" s="29" t="str">
        <x:v>◄ Operating principle</x:v>
      </x:c>
    </x:row>
    <x:row r="2" ht="43.5">
      <x:c r="A2" s="30" t="str">
        <x:v>A01</x:v>
      </x:c>
      <x:c r="B2" s="30" t="str">
        <x:v>Recent set</x:v>
      </x:c>
      <x:c r="C2" s="30" t="n">
        <x:v>2020</x:v>
      </x:c>
      <x:c r="D2" s="17" t="str">
        <x:v>Molecular design principles of Lysine-DOPA wet adhesion</x:v>
      </x:c>
      <x:c r="E2" s="17" t="str">
        <x:v>Nature Communications</x:v>
      </x:c>
      <x:c r="F2" s="17" t="str">
        <x:v>Mussel foot proteins / DOPA+lysine</x:v>
      </x:c>
      <x:c r="G2" s="17" t="str">
        <x:v>Bond strongly to wet surfaces</x:v>
      </x:c>
      <x:c r="H2" s="17" t="str">
        <x:v>DOPA catechol and lysine cooperate in interfacial bonding and energy dissipation</x:v>
      </x:c>
      <x:c r="I2" s="17" t="str">
        <x:v>Combine complementary charged/catechol interactions rather than relying on one motif</x:v>
      </x:c>
      <x:c r="J2" s="17" t="str">
        <x:v>NA06 Use reversible molecular surface anchoring</x:v>
      </x:c>
      <x:c r="K2" s="17" t="str">
        <x:v>NA07 Combine structural + chemical adhesion</x:v>
      </x:c>
      <x:c r="L2" s="17" t="str">
        <x:v>Molecular wet adhesion</x:v>
      </x:c>
      <x:c r="M2" s="17" t="str">
        <x:v>Contact / aqueous environment</x:v>
      </x:c>
      <x:c r="N2" s="17" t="str">
        <x:v>Repeatable at bond level</x:v>
      </x:c>
      <x:c r="O2" s="17" t="str">
        <x:v>Peptide/molecular adhesive design</x:v>
      </x:c>
      <x:c r="P2" s="17" t="str">
        <x:v>Wet adhesives; biomaterials</x:v>
      </x:c>
      <x:c r="Q2" s="17" t="str">
        <x:v>High-impact mechanism anchor</x:v>
      </x:c>
      <x:c r="R2" s="31" t="str">
        <x:v>https://www.nature.com/articles/s41467-020-17597-4</x:v>
      </x:c>
      <x:c r="S2" s="17" t="str">
        <x:v>Mechanistic anchor for mussel-inspired wet adhesion.</x:v>
      </x:c>
      <x:c r="T2" s="32" t="str">
        <x:v>Lab-scale</x:v>
      </x:c>
      <x:c r="U2" s="33" t="str">
        <x:v>Peer-reviewed laboratory demonstration unless otherwise stated.</x:v>
      </x:c>
      <x:c r="V2" s="33" t="str">
        <x:v>Surface-specific chemistry, oxidation/cure control and long-term wet stability.</x:v>
      </x:c>
      <x:c r="W2" s="34" t="str">
        <x:v>Attachment / positioning</x:v>
      </x:c>
      <x:c r="X2" s="34" t="str">
        <x:v>Interfacial bonding; reversible chemistry</x:v>
      </x:c>
      <x:c r="Y2" s="34" t="str">
        <x:v>Locality</x:v>
      </x:c>
    </x:row>
    <x:row r="3" ht="43.5">
      <x:c r="A3" s="30" t="str">
        <x:v>A02</x:v>
      </x:c>
      <x:c r="B3" s="30" t="str">
        <x:v>Recent set</x:v>
      </x:c>
      <x:c r="C3" s="30" t="n">
        <x:v>2020</x:v>
      </x:c>
      <x:c r="D3" s="17" t="str">
        <x:v>Tree Frog-Inspired Micropillar Arrays with Nanopits on the Surface for Enhanced Adhesion under Wet Conditions</x:v>
      </x:c>
      <x:c r="E3" s="17" t="str">
        <x:v>ACS Applied Materials &amp; Interfaces</x:v>
      </x:c>
      <x:c r="F3" s="17" t="str">
        <x:v>Tree frog toe pad</x:v>
      </x:c>
      <x:c r="G3" s="17" t="str">
        <x:v>Maintain adhesion through interfacial water</x:v>
      </x:c>
      <x:c r="H3" s="17" t="str">
        <x:v>Nanopits and micropillars retain liquid bridges and increase wet contact/suction-like effects</x:v>
      </x:c>
      <x:c r="I3" s="17" t="str">
        <x:v>Pattern contact surfaces to manage liquid at multiple scales</x:v>
      </x:c>
      <x:c r="J3" s="17" t="str">
        <x:v>NA10 Generate wet friction through drainage and edge density</x:v>
      </x:c>
      <x:c r="K3" s="17" t="str">
        <x:v>NA04 Control system compliance and load path</x:v>
      </x:c>
      <x:c r="L3" s="17" t="str">
        <x:v>Structured wet adhesion</x:v>
      </x:c>
      <x:c r="M3" s="17" t="str">
        <x:v>Wet contact</x:v>
      </x:c>
      <x:c r="N3" s="17" t="str">
        <x:v>Repeatable</x:v>
      </x:c>
      <x:c r="O3" s="17" t="str">
        <x:v>Micropillar/nanopit elastomer arrays</x:v>
      </x:c>
      <x:c r="P3" s="17" t="str">
        <x:v>Wet grippers; wearable/medical interfaces</x:v>
      </x:c>
      <x:c r="Q3" s="17" t="str">
        <x:v>High-impact</x:v>
      </x:c>
      <x:c r="R3" s="31" t="str">
        <x:v>https://pubs.acs.org/doi/10.1021/acsami.9b22532</x:v>
      </x:c>
      <x:c r="S3" s="17" t="str">
        <x:v>Strong example of hierarchical liquid management.</x:v>
      </x:c>
      <x:c r="T3" s="32" t="str">
        <x:v>Lab-scale</x:v>
      </x:c>
      <x:c r="U3" s="33" t="str">
        <x:v>Peer-reviewed laboratory demonstration unless otherwise stated.</x:v>
      </x:c>
      <x:c r="V3" s="33" t="str">
        <x:v>Seal/drainage robustness on rough surfaces and across fluid conditions.</x:v>
      </x:c>
      <x:c r="W3" s="34" t="str">
        <x:v>Resistance reduction</x:v>
      </x:c>
      <x:c r="X3" s="34" t="str">
        <x:v>Fluid drainage; wet friction; pressure control</x:v>
      </x:c>
      <x:c r="Y3" s="34" t="str">
        <x:v>Locality</x:v>
      </x:c>
    </x:row>
    <x:row r="4" ht="58">
      <x:c r="A4" s="30" t="str">
        <x:v>A03</x:v>
      </x:c>
      <x:c r="B4" s="30" t="str">
        <x:v>Recent set</x:v>
      </x:c>
      <x:c r="C4" s="30" t="n">
        <x:v>2020</x:v>
      </x:c>
      <x:c r="D4" s="17" t="str">
        <x:v>Functionally Graded Gecko Setae and the Biomimics with Robust Adhesion and Durability</x:v>
      </x:c>
      <x:c r="E4" s="17" t="str">
        <x:v>ACS Applied Polymer Materials</x:v>
      </x:c>
      <x:c r="F4" s="17" t="str">
        <x:v>Gecko setae</x:v>
      </x:c>
      <x:c r="G4" s="17" t="str">
        <x:v>Conform to surfaces while remaining durable</x:v>
      </x:c>
      <x:c r="H4" s="17" t="str">
        <x:v>Stiffness gradient from base to tip improves flexibility, roughness tolerance and fatigue resistance</x:v>
      </x:c>
      <x:c r="I4" s="17" t="str">
        <x:v>Grade stiffness across the load path instead of using one modulus</x:v>
      </x:c>
      <x:c r="J4" s="17" t="str">
        <x:v>NA04 Control system compliance and load path</x:v>
      </x:c>
      <x:c r="K4" s="17" t="str">
        <x:v>NA02 Build hierarchy across scales</x:v>
      </x:c>
      <x:c r="L4" s="17" t="str">
        <x:v>Dry structured adhesion</x:v>
      </x:c>
      <x:c r="M4" s="17" t="str">
        <x:v>Preload / shear</x:v>
      </x:c>
      <x:c r="N4" s="17" t="str">
        <x:v>Repeatable</x:v>
      </x:c>
      <x:c r="O4" s="17" t="str">
        <x:v>Functionally graded fibrillar adhesive</x:v>
      </x:c>
      <x:c r="P4" s="17" t="str">
        <x:v>Robotics; reusable dry adhesion</x:v>
      </x:c>
      <x:c r="Q4" s="17" t="str">
        <x:v>High-impact</x:v>
      </x:c>
      <x:c r="R4" s="31" t="str">
        <x:v>https://pubs.acs.org/doi/10.1021/acsapm.0c00282</x:v>
      </x:c>
      <x:c r="S4" s="17" t="str">
        <x:v>Mechanism fits compliance/load-path strategy.</x:v>
      </x:c>
      <x:c r="T4" s="32" t="str">
        <x:v>Lab-scale</x:v>
      </x:c>
      <x:c r="U4" s="33" t="str">
        <x:v>Peer-reviewed laboratory demonstration unless otherwise stated.</x:v>
      </x:c>
      <x:c r="V4" s="33" t="str">
        <x:v>Balancing conformability against creep and load-path stiffness.</x:v>
      </x:c>
      <x:c r="W4" s="34" t="str">
        <x:v>Strength</x:v>
      </x:c>
      <x:c r="X4" s="34" t="str">
        <x:v>Gradient stiffness; load-path optimization</x:v>
      </x:c>
      <x:c r="Y4" s="34" t="str">
        <x:v>Gradient</x:v>
      </x:c>
    </x:row>
    <x:row r="5" ht="43.5">
      <x:c r="A5" s="30" t="str">
        <x:v>A04</x:v>
      </x:c>
      <x:c r="B5" s="30" t="str">
        <x:v>Recent set</x:v>
      </x:c>
      <x:c r="C5" s="30" t="n">
        <x:v>2020</x:v>
      </x:c>
      <x:c r="D5" s="17" t="str">
        <x:v>Switchable Adhesion for Nonflat Surfaces Mimicking Geckos' Adhesive Structures and Toe Muscles</x:v>
      </x:c>
      <x:c r="E5" s="17" t="str">
        <x:v>ACS Applied Materials &amp; Interfaces</x:v>
      </x:c>
      <x:c r="F5" s="17" t="str">
        <x:v>Gecko setae + toe muscles</x:v>
      </x:c>
      <x:c r="G5" s="17" t="str">
        <x:v>Attach/release on curved surfaces</x:v>
      </x:c>
      <x:c r="H5" s="17" t="str">
        <x:v>Hierarchical adhesive microstructure coupled with active stiffness modulation</x:v>
      </x:c>
      <x:c r="I5" s="17" t="str">
        <x:v>Combine contact geometry with active state change for nonflat targets</x:v>
      </x:c>
      <x:c r="J5" s="17" t="str">
        <x:v>NA15 Switch material state to attach / release</x:v>
      </x:c>
      <x:c r="K5" s="17" t="str">
        <x:v>NA03 Make adhesion directional / anisotropic</x:v>
      </x:c>
      <x:c r="L5" s="17" t="str">
        <x:v>Active dry adhesion</x:v>
      </x:c>
      <x:c r="M5" s="17" t="str">
        <x:v>Mechanical actuation</x:v>
      </x:c>
      <x:c r="N5" s="17" t="str">
        <x:v>Repeatable</x:v>
      </x:c>
      <x:c r="O5" s="17" t="str">
        <x:v>Actuated gecko-inspired adhesive pad</x:v>
      </x:c>
      <x:c r="P5" s="17" t="str">
        <x:v>Robotic grippers; curved objects</x:v>
      </x:c>
      <x:c r="Q5" s="17" t="str">
        <x:v>High-impact</x:v>
      </x:c>
      <x:c r="R5" s="31" t="str">
        <x:v>https://pubs.acs.org/doi/10.1021/acsami.0c08686</x:v>
      </x:c>
      <x:c r="S5" s="17" t="str">
        <x:v>Bridges structural adhesion and active release.</x:v>
      </x:c>
      <x:c r="T5" s="32" t="str">
        <x:v>Lab-scale</x:v>
      </x:c>
      <x:c r="U5" s="33" t="str">
        <x:v>Peer-reviewed laboratory demonstration unless otherwise stated.</x:v>
      </x:c>
      <x:c r="V5" s="33" t="str">
        <x:v>Trigger speed, energy, hysteresis, false activation and reset reliability.</x:v>
      </x:c>
      <x:c r="W5" s="34" t="str">
        <x:v>Adaptation</x:v>
      </x:c>
      <x:c r="X5" s="34" t="str">
        <x:v>State switching; reversible locking</x:v>
      </x:c>
      <x:c r="Y5" s="34" t="str">
        <x:v>Cyclicity</x:v>
      </x:c>
    </x:row>
    <x:row r="6" ht="43.5">
      <x:c r="A6" s="30" t="str">
        <x:v>A05</x:v>
      </x:c>
      <x:c r="B6" s="30" t="str">
        <x:v>Recent set</x:v>
      </x:c>
      <x:c r="C6" s="30" t="n">
        <x:v>2020</x:v>
      </x:c>
      <x:c r="D6" s="17" t="str">
        <x:v>Toward Bioinspired Wet Adhesives: Lessons from Assessing Surface Structures of the Suction Disc of Intertidal Clingfish</x:v>
      </x:c>
      <x:c r="E6" s="17" t="str">
        <x:v>ACS Applied Materials &amp; Interfaces</x:v>
      </x:c>
      <x:c r="F6" s="17" t="str">
        <x:v>Clingfish suction disc</x:v>
      </x:c>
      <x:c r="G6" s="17" t="str">
        <x:v>Grip rough wet surfaces</x:v>
      </x:c>
      <x:c r="H6" s="17" t="str">
        <x:v>Papillae, compliant sealing and suction/friction cooperate</x:v>
      </x:c>
      <x:c r="I6" s="17" t="str">
        <x:v>Use pressure differential plus frictional microstructure on rough wet surfaces</x:v>
      </x:c>
      <x:c r="J6" s="17" t="str">
        <x:v>NA10 Generate wet friction through drainage and edge density</x:v>
      </x:c>
      <x:c r="K6" s="17" t="str">
        <x:v>NA04 Control system compliance and load path</x:v>
      </x:c>
      <x:c r="L6" s="17" t="str">
        <x:v>Wet suction/friction</x:v>
      </x:c>
      <x:c r="M6" s="17" t="str">
        <x:v>Contact / pressure</x:v>
      </x:c>
      <x:c r="N6" s="17" t="str">
        <x:v>Repeatable</x:v>
      </x:c>
      <x:c r="O6" s="17" t="str">
        <x:v>Clingfish-inspired wet pad</x:v>
      </x:c>
      <x:c r="P6" s="17" t="str">
        <x:v>Underwater gripping</x:v>
      </x:c>
      <x:c r="Q6" s="17" t="str">
        <x:v>High-impact biological mechanism study</x:v>
      </x:c>
      <x:c r="R6" s="31" t="str">
        <x:v>https://pubs.acs.org/doi/10.1021/acsami.0c10749</x:v>
      </x:c>
      <x:c r="S6" s="17" t="str">
        <x:v>Important suction/friction model.</x:v>
      </x:c>
      <x:c r="T6" s="32" t="str">
        <x:v>Lab-scale</x:v>
      </x:c>
      <x:c r="U6" s="33" t="str">
        <x:v>Peer-reviewed laboratory demonstration unless otherwise stated.</x:v>
      </x:c>
      <x:c r="V6" s="33" t="str">
        <x:v>Seal/drainage robustness on rough surfaces and across fluid conditions.</x:v>
      </x:c>
      <x:c r="W6" s="34" t="str">
        <x:v>Resistance reduction</x:v>
      </x:c>
      <x:c r="X6" s="34" t="str">
        <x:v>Fluid drainage; wet friction; pressure control</x:v>
      </x:c>
      <x:c r="Y6" s="34" t="str">
        <x:v>Locality</x:v>
      </x:c>
    </x:row>
    <x:row r="7" ht="58">
      <x:c r="A7" s="30" t="str">
        <x:v>A06</x:v>
      </x:c>
      <x:c r="B7" s="30" t="str">
        <x:v>Recent set</x:v>
      </x:c>
      <x:c r="C7" s="30" t="n">
        <x:v>2020</x:v>
      </x:c>
      <x:c r="D7" s="17" t="str">
        <x:v>A protein-coated micro-sucker patch inspired by octopus for adhesion in wet conditions</x:v>
      </x:c>
      <x:c r="E7" s="17" t="str">
        <x:v>Scientific Reports</x:v>
      </x:c>
      <x:c r="F7" s="17" t="str">
        <x:v>Octopus sucker + protein coating</x:v>
      </x:c>
      <x:c r="G7" s="17" t="str">
        <x:v>Attach to wet biological surfaces</x:v>
      </x:c>
      <x:c r="H7" s="17" t="str">
        <x:v>Microsuction architecture combined with biochemical coating</x:v>
      </x:c>
      <x:c r="I7" s="17" t="str">
        <x:v>Separate physical sealing from chemical affinity</x:v>
      </x:c>
      <x:c r="J7" s="17" t="str">
        <x:v>NA07 Combine structural + chemical adhesion</x:v>
      </x:c>
      <x:c r="K7" s="17" t="str">
        <x:v>NA10 Generate wet friction through drainage and edge density</x:v>
      </x:c>
      <x:c r="L7" s="17" t="str">
        <x:v>Hybrid wet adhesion</x:v>
      </x:c>
      <x:c r="M7" s="17" t="str">
        <x:v>Wet contact</x:v>
      </x:c>
      <x:c r="N7" s="17" t="str">
        <x:v>Repeatable</x:v>
      </x:c>
      <x:c r="O7" s="17" t="str">
        <x:v>Protein-coated micro-sucker patch</x:v>
      </x:c>
      <x:c r="P7" s="17" t="str">
        <x:v>Medical patch; wet manipulation</x:v>
      </x:c>
      <x:c r="Q7" s="17" t="str">
        <x:v>High-impact</x:v>
      </x:c>
      <x:c r="R7" s="31" t="str">
        <x:v>https://www.nature.com/articles/s41598-020-72493-7</x:v>
      </x:c>
      <x:c r="S7" s="17" t="str">
        <x:v>Hybrid structure+chemistry.</x:v>
      </x:c>
      <x:c r="T7" s="32" t="str">
        <x:v>Lab-scale</x:v>
      </x:c>
      <x:c r="U7" s="33" t="str">
        <x:v>Peer-reviewed laboratory demonstration unless otherwise stated.</x:v>
      </x:c>
      <x:c r="V7" s="33" t="str">
        <x:v>Integrating mechanisms without one blocking the other; manufacturing complexity.</x:v>
      </x:c>
      <x:c r="W7" s="34" t="str">
        <x:v>Attachment / positioning</x:v>
      </x:c>
      <x:c r="X7" s="34" t="str">
        <x:v>Hybrid multi-mechanism interface</x:v>
      </x:c>
      <x:c r="Y7" s="34" t="str">
        <x:v>Multi-scale</x:v>
      </x:c>
    </x:row>
    <x:row r="8" ht="43.5">
      <x:c r="A8" s="30" t="str">
        <x:v>A07</x:v>
      </x:c>
      <x:c r="B8" s="30" t="str">
        <x:v>Recent set</x:v>
      </x:c>
      <x:c r="C8" s="30" t="n">
        <x:v>2020</x:v>
      </x:c>
      <x:c r="D8" s="17" t="str">
        <x:v>Mussel-Inspired Naturally Derived Double-Network Hydrogels and Their Application in 3D Printing: From Soft, Injectable Bioadhesives to Mechanically Strong Hydrogels</x:v>
      </x:c>
      <x:c r="E8" s="17" t="str">
        <x:v>ACS Biomaterials Science &amp; Engineering</x:v>
      </x:c>
      <x:c r="F8" s="17" t="str">
        <x:v>Mussel adhesion</x:v>
      </x:c>
      <x:c r="G8" s="17" t="str">
        <x:v>Be injectable/adhesive first, strong later</x:v>
      </x:c>
      <x:c r="H8" s="17" t="str">
        <x:v>Two-step network: initial adhesive injectable state then strong double-network hydrogel</x:v>
      </x:c>
      <x:c r="I8" s="17" t="str">
        <x:v>Separate placement/adhesion stage from structural reinforcement stage</x:v>
      </x:c>
      <x:c r="J8" s="17" t="str">
        <x:v>NA06 Use reversible molecular surface anchoring</x:v>
      </x:c>
      <x:c r="K8" s="17" t="str">
        <x:v>NA15 Switch material state to attach / release</x:v>
      </x:c>
      <x:c r="L8" s="17" t="str">
        <x:v>Wet hydrogel adhesion</x:v>
      </x:c>
      <x:c r="M8" s="17" t="str">
        <x:v>Contact + ionic/covalent crosslinking</x:v>
      </x:c>
      <x:c r="N8" s="17" t="str">
        <x:v>Limited/repeatable depending network</x:v>
      </x:c>
      <x:c r="O8" s="17" t="str">
        <x:v>Hyaluronic-acid/alginate DN hydrogel</x:v>
      </x:c>
      <x:c r="P8" s="17" t="str">
        <x:v>Tissue engineering; 3D printing</x:v>
      </x:c>
      <x:c r="Q8" s="17" t="str">
        <x:v>High-impact</x:v>
      </x:c>
      <x:c r="R8" s="31" t="str">
        <x:v>https://pubs.acs.org/doi/10.1021/acsbiomaterials.9b01864</x:v>
      </x:c>
      <x:c r="S8" s="17" t="str">
        <x:v>Two-stage functionality.</x:v>
      </x:c>
      <x:c r="T8" s="32" t="str">
        <x:v>Lab-scale</x:v>
      </x:c>
      <x:c r="U8" s="33" t="str">
        <x:v>Peer-reviewed laboratory demonstration unless otherwise stated.</x:v>
      </x:c>
      <x:c r="V8" s="33" t="str">
        <x:v>Surface-specific chemistry, oxidation/cure control and long-term wet stability.</x:v>
      </x:c>
      <x:c r="W8" s="34" t="str">
        <x:v>Attachment / positioning</x:v>
      </x:c>
      <x:c r="X8" s="34" t="str">
        <x:v>Interfacial bonding; reversible chemistry</x:v>
      </x:c>
      <x:c r="Y8" s="34" t="str">
        <x:v>Locality</x:v>
      </x:c>
    </x:row>
    <x:row r="9" ht="43.5">
      <x:c r="A9" s="30" t="str">
        <x:v>A08</x:v>
      </x:c>
      <x:c r="B9" s="30" t="str">
        <x:v>Recent set</x:v>
      </x:c>
      <x:c r="C9" s="30" t="n">
        <x:v>2020</x:v>
      </x:c>
      <x:c r="D9" s="17" t="str">
        <x:v>Humidity-Modulated Core–Shell Nanopillars for Enhancement of Gecko-Inspired Adhesion</x:v>
      </x:c>
      <x:c r="E9" s="17" t="str">
        <x:v>ACS Applied Nano Materials</x:v>
      </x:c>
      <x:c r="F9" s="17" t="str">
        <x:v>Gecko / humidity response</x:v>
      </x:c>
      <x:c r="G9" s="17" t="str">
        <x:v>Maintain contact across humidity</x:v>
      </x:c>
      <x:c r="H9" s="17" t="str">
        <x:v>Humidity softens outer shell while retaining stiff core, improving conformity</x:v>
      </x:c>
      <x:c r="I9" s="17" t="str">
        <x:v>Use environment-responsive surface compliance while preserving structural support</x:v>
      </x:c>
      <x:c r="J9" s="17" t="str">
        <x:v>NA14 Regulate adhesion using environmental conditions</x:v>
      </x:c>
      <x:c r="K9" s="17" t="str">
        <x:v>NA04 Control system compliance and load path</x:v>
      </x:c>
      <x:c r="L9" s="17" t="str">
        <x:v>Humidity-adaptive dry adhesion</x:v>
      </x:c>
      <x:c r="M9" s="17" t="str">
        <x:v>Humidity</x:v>
      </x:c>
      <x:c r="N9" s="17" t="str">
        <x:v>Repeatable</x:v>
      </x:c>
      <x:c r="O9" s="17" t="str">
        <x:v>Core-shell nanopillar array</x:v>
      </x:c>
      <x:c r="P9" s="17" t="str">
        <x:v>Reusable dry adhesion</x:v>
      </x:c>
      <x:c r="Q9" s="17" t="str">
        <x:v>High-impact</x:v>
      </x:c>
      <x:c r="R9" s="31" t="str">
        <x:v>https://pubs.acs.org/doi/10.1021/acsanm.0c00314</x:v>
      </x:c>
      <x:c r="S9" s="17" t="str">
        <x:v>Direct environmental adaptation.</x:v>
      </x:c>
      <x:c r="T9" s="32" t="str">
        <x:v>Lab-scale</x:v>
      </x:c>
      <x:c r="U9" s="33" t="str">
        <x:v>Peer-reviewed laboratory demonstration unless otherwise stated.</x:v>
      </x:c>
      <x:c r="V9" s="33" t="str">
        <x:v>Stability across the full environmental range rather than one optimum condition.</x:v>
      </x:c>
      <x:c r="W9" s="34" t="str">
        <x:v>Adaptation</x:v>
      </x:c>
      <x:c r="X9" s="34" t="str">
        <x:v>Environmental / rate responsiveness</x:v>
      </x:c>
      <x:c r="Y9" s="34" t="str">
        <x:v>Feedback</x:v>
      </x:c>
    </x:row>
    <x:row r="10" ht="43.5">
      <x:c r="A10" s="30" t="str">
        <x:v>A09</x:v>
      </x:c>
      <x:c r="B10" s="30" t="str">
        <x:v>Recent set</x:v>
      </x:c>
      <x:c r="C10" s="30" t="n">
        <x:v>2020</x:v>
      </x:c>
      <x:c r="D10" s="17" t="str">
        <x:v>Bioinspired Multiscale Wet Adhesive Surfaces: Structures and Controlled Adhesion</x:v>
      </x:c>
      <x:c r="E10" s="17" t="str">
        <x:v>Advanced Functional Materials</x:v>
      </x:c>
      <x:c r="F10" s="17" t="str">
        <x:v>Multiple wet-adhesion organisms</x:v>
      </x:c>
      <x:c r="G10" s="17" t="str">
        <x:v>Classify controllable wet adhesion</x:v>
      </x:c>
      <x:c r="H10" s="17" t="str">
        <x:v>Review of octopus, frog, clingfish and multiscale wet-adhesion structures</x:v>
      </x:c>
      <x:c r="I10" s="17" t="str">
        <x:v>Treat wet adhesion as coupled geometry, liquid management and switching</x:v>
      </x:c>
      <x:c r="J10" s="17" t="str">
        <x:v>NA10 Generate wet friction through drainage and edge density</x:v>
      </x:c>
      <x:c r="K10" s="17" t="str">
        <x:v>NA07 Combine structural + chemical adhesion</x:v>
      </x:c>
      <x:c r="L10" s="17" t="str">
        <x:v>Review / synthesis</x:v>
      </x:c>
      <x:c r="M10" s="17" t="str">
        <x:v>n/a</x:v>
      </x:c>
      <x:c r="N10" s="17" t="str">
        <x:v>n/a</x:v>
      </x:c>
      <x:c r="O10" s="17" t="str">
        <x:v>Taxonomy/review</x:v>
      </x:c>
      <x:c r="P10" s="17" t="str">
        <x:v>Wet adhesion technologies</x:v>
      </x:c>
      <x:c r="Q10" s="17" t="str">
        <x:v>Widely cited review</x:v>
      </x:c>
      <x:c r="R10" s="31" t="str">
        <x:v>https://advanced.onlinelibrary.wiley.com/doi/10.1002/adfm.201905287</x:v>
      </x:c>
      <x:c r="S10" s="17" t="str">
        <x:v>Review—use for vocabulary, not as sole primary evidence.</x:v>
      </x:c>
      <x:c r="T10" s="32" t="str">
        <x:v>N/A — review / synthesis</x:v>
      </x:c>
      <x:c r="U10" s="33" t="str">
        <x:v>Peer-reviewed review; use for taxonomy/vocabulary, not device maturity.</x:v>
      </x:c>
      <x:c r="V10" s="33" t="str">
        <x:v>Not applicable as a single engineering implementation.</x:v>
      </x:c>
      <x:c r="W10" s="34" t="str">
        <x:v>Resistance reduction</x:v>
      </x:c>
      <x:c r="X10" s="34" t="str">
        <x:v>Fluid drainage; wet friction; pressure control</x:v>
      </x:c>
      <x:c r="Y10" s="34" t="str">
        <x:v>Locality</x:v>
      </x:c>
    </x:row>
    <x:row r="11" ht="58">
      <x:c r="A11" s="30" t="str">
        <x:v>A10</x:v>
      </x:c>
      <x:c r="B11" s="30" t="str">
        <x:v>Recent set</x:v>
      </x:c>
      <x:c r="C11" s="30" t="n">
        <x:v>2020</x:v>
      </x:c>
      <x:c r="D11" s="17" t="str">
        <x:v>Design of Tree-Frog-Inspired Adhesives</x:v>
      </x:c>
      <x:c r="E11" s="17" t="str">
        <x:v>Integrative and Comparative Biology</x:v>
      </x:c>
      <x:c r="F11" s="17" t="str">
        <x:v>Tree frog toe pad</x:v>
      </x:c>
      <x:c r="G11" s="17" t="str">
        <x:v>Translate frog adhesion into engineered surfaces</x:v>
      </x:c>
      <x:c r="H11" s="17" t="str">
        <x:v>Relates toe-pad structure, drainage, capillarity, friction and compliant contact</x:v>
      </x:c>
      <x:c r="I11" s="17" t="str">
        <x:v>Design liquid management and compliance together</x:v>
      </x:c>
      <x:c r="J11" s="17" t="str">
        <x:v>NA10 Generate wet friction through drainage and edge density</x:v>
      </x:c>
      <x:c r="K11" s="17" t="str">
        <x:v>NA04 Control system compliance and load path</x:v>
      </x:c>
      <x:c r="L11" s="17" t="str">
        <x:v>Review / synthesis</x:v>
      </x:c>
      <x:c r="M11" s="17" t="str">
        <x:v>n/a</x:v>
      </x:c>
      <x:c r="N11" s="17" t="str">
        <x:v>n/a</x:v>
      </x:c>
      <x:c r="O11" s="17" t="str">
        <x:v>Design review</x:v>
      </x:c>
      <x:c r="P11" s="17" t="str">
        <x:v>Wet adhesives</x:v>
      </x:c>
      <x:c r="Q11" s="17" t="str">
        <x:v>Widely cited review</x:v>
      </x:c>
      <x:c r="R11" s="31" t="str">
        <x:v>https://academic.oup.com/icb/article/60/4/906/5837677</x:v>
      </x:c>
      <x:c r="S11" s="17" t="str">
        <x:v>Useful biological-to-engineering translation review.</x:v>
      </x:c>
      <x:c r="T11" s="32" t="str">
        <x:v>N/A — review / synthesis</x:v>
      </x:c>
      <x:c r="U11" s="33" t="str">
        <x:v>Peer-reviewed review; use for taxonomy/vocabulary, not device maturity.</x:v>
      </x:c>
      <x:c r="V11" s="33" t="str">
        <x:v>Not applicable as a single engineering implementation.</x:v>
      </x:c>
      <x:c r="W11" s="34" t="str">
        <x:v>Resistance reduction</x:v>
      </x:c>
      <x:c r="X11" s="34" t="str">
        <x:v>Fluid drainage; wet friction; pressure control</x:v>
      </x:c>
      <x:c r="Y11" s="34" t="str">
        <x:v>Locality</x:v>
      </x:c>
    </x:row>
    <x:row r="12" ht="29">
      <x:c r="A12" s="30" t="str">
        <x:v>A11</x:v>
      </x:c>
      <x:c r="B12" s="30" t="str">
        <x:v>Recent set</x:v>
      </x:c>
      <x:c r="C12" s="30" t="n">
        <x:v>2021</x:v>
      </x:c>
      <x:c r="D12" s="17" t="str">
        <x:v>A mussel-inspired film for adhesion to wet buccal tissue and efficient buccal drug delivery</x:v>
      </x:c>
      <x:c r="E12" s="17" t="str">
        <x:v>Nature Communications</x:v>
      </x:c>
      <x:c r="F12" s="17" t="str">
        <x:v>Mussel DOPA chemistry</x:v>
      </x:c>
      <x:c r="G12" s="17" t="str">
        <x:v>Adhere to wet mucosa while delivering payload</x:v>
      </x:c>
      <x:c r="H12" s="17" t="str">
        <x:v>Catechol-rich wet adhesive film with nanoparticle drug delivery</x:v>
      </x:c>
      <x:c r="I12" s="17" t="str">
        <x:v>Couple wet anchoring with a functional payload layer</x:v>
      </x:c>
      <x:c r="J12" s="17" t="str">
        <x:v>NA06 Use reversible molecular surface anchoring</x:v>
      </x:c>
      <x:c r="K12" s="17" t="str">
        <x:v>NA07 Combine structural + chemical adhesion</x:v>
      </x:c>
      <x:c r="L12" s="17" t="str">
        <x:v>Wet bioadhesion</x:v>
      </x:c>
      <x:c r="M12" s="17" t="str">
        <x:v>Wet contact</x:v>
      </x:c>
      <x:c r="N12" s="17" t="str">
        <x:v>Single-use / finite</x:v>
      </x:c>
      <x:c r="O12" s="17" t="str">
        <x:v>Mussel-inspired buccal film</x:v>
      </x:c>
      <x:c r="P12" s="17" t="str">
        <x:v>Drug delivery</x:v>
      </x:c>
      <x:c r="Q12" s="17" t="str">
        <x:v>Widely cited (~300+ reported previously)</x:v>
      </x:c>
      <x:c r="R12" s="31" t="str">
        <x:v>https://www.nature.com/articles/s41467-021-21989-5</x:v>
      </x:c>
      <x:c r="S12" s="17" t="str">
        <x:v>Major biomedical application paper.</x:v>
      </x:c>
      <x:c r="T12" s="32" t="str">
        <x:v>Lab-scale</x:v>
      </x:c>
      <x:c r="U12" s="33" t="str">
        <x:v>Peer-reviewed laboratory demonstration unless otherwise stated.</x:v>
      </x:c>
      <x:c r="V12" s="33" t="str">
        <x:v>Surface-specific chemistry, oxidation/cure control and long-term wet stability.</x:v>
      </x:c>
      <x:c r="W12" s="34" t="str">
        <x:v>Attachment / positioning</x:v>
      </x:c>
      <x:c r="X12" s="34" t="str">
        <x:v>Interfacial bonding; reversible chemistry</x:v>
      </x:c>
      <x:c r="Y12" s="34" t="str">
        <x:v>Locality</x:v>
      </x:c>
    </x:row>
    <x:row r="13" ht="43.5">
      <x:c r="A13" s="30" t="str">
        <x:v>A12</x:v>
      </x:c>
      <x:c r="B13" s="30" t="str">
        <x:v>Recent set</x:v>
      </x:c>
      <x:c r="C13" s="30" t="n">
        <x:v>2021</x:v>
      </x:c>
      <x:c r="D13" s="17" t="str">
        <x:v>Hydrogel tapes for fault-tolerant strong wet adhesion</x:v>
      </x:c>
      <x:c r="E13" s="17" t="str">
        <x:v>Nature Communications</x:v>
      </x:c>
      <x:c r="F13" s="17" t="str">
        <x:v>Mussel-inspired catechol + tough biological interfaces</x:v>
      </x:c>
      <x:c r="G13" s="17" t="str">
        <x:v>Strong wet adhesion that tolerates defects and is repositionable early</x:v>
      </x:c>
      <x:c r="H13" s="17" t="str">
        <x:v>Fast physical attachment followed by slower covalent bonding with tough backing</x:v>
      </x:c>
      <x:c r="I13" s="17" t="str">
        <x:v>Combine fast contact, crack tolerance and slower strengthening</x:v>
      </x:c>
      <x:c r="J13" s="17" t="str">
        <x:v>NA05 Trap and arrest detachment cracks</x:v>
      </x:c>
      <x:c r="K13" s="17" t="str">
        <x:v>NA06 Use reversible molecular surface anchoring</x:v>
      </x:c>
      <x:c r="L13" s="17" t="str">
        <x:v>Wet hydrogel adhesion</x:v>
      </x:c>
      <x:c r="M13" s="17" t="str">
        <x:v>Contact / time</x:v>
      </x:c>
      <x:c r="N13" s="17" t="str">
        <x:v>Limited multi-use early</x:v>
      </x:c>
      <x:c r="O13" s="17" t="str">
        <x:v>Tough hydrogel adhesive tape</x:v>
      </x:c>
      <x:c r="P13" s="17" t="str">
        <x:v>Surgical adhesion</x:v>
      </x:c>
      <x:c r="Q13" s="17" t="str">
        <x:v>Widely cited (~300+ reported previously)</x:v>
      </x:c>
      <x:c r="R13" s="31" t="str">
        <x:v>https://www.nature.com/articles/s41467-021-27529-5</x:v>
      </x:c>
      <x:c r="S13" s="17" t="str">
        <x:v>Excellent crack-tolerance anchor.</x:v>
      </x:c>
      <x:c r="T13" s="32" t="str">
        <x:v>Lab-scale</x:v>
      </x:c>
      <x:c r="U13" s="33" t="str">
        <x:v>Peer-reviewed laboratory demonstration unless otherwise stated.</x:v>
      </x:c>
      <x:c r="V13" s="33" t="str">
        <x:v>Manufacturing crack-control geometry without raising release energy too far.</x:v>
      </x:c>
      <x:c r="W13" s="34" t="str">
        <x:v>Strength</x:v>
      </x:c>
      <x:c r="X13" s="34" t="str">
        <x:v>Crack trapping; fault tolerance</x:v>
      </x:c>
      <x:c r="Y13" s="34" t="str">
        <x:v>Multi-scale</x:v>
      </x:c>
    </x:row>
    <x:row r="14" ht="29">
      <x:c r="A14" s="30" t="str">
        <x:v>A13</x:v>
      </x:c>
      <x:c r="B14" s="30" t="str">
        <x:v>Recent set</x:v>
      </x:c>
      <x:c r="C14" s="30" t="n">
        <x:v>2021</x:v>
      </x:c>
      <x:c r="D14" s="17" t="str">
        <x:v>Ultra-strong bio-glue from genetically engineered polypeptides</x:v>
      </x:c>
      <x:c r="E14" s="17" t="str">
        <x:v>Nature Communications</x:v>
      </x:c>
      <x:c r="F14" s="17" t="str">
        <x:v>Protein/coacervate-inspired biological adhesives</x:v>
      </x:c>
      <x:c r="G14" s="17" t="str">
        <x:v>Create very strong bioadhesive from programmable proteins</x:v>
      </x:c>
      <x:c r="H14" s="17" t="str">
        <x:v>Engineered polypeptides form dense supramolecular adhesive networks</x:v>
      </x:c>
      <x:c r="I14" s="17" t="str">
        <x:v>Use sequence-programmed proteins to combine cohesion and surface bonding</x:v>
      </x:c>
      <x:c r="J14" s="17" t="str">
        <x:v>NA06 Use reversible molecular surface anchoring</x:v>
      </x:c>
      <x:c r="K14" s="17" t="str">
        <x:v>NA08 Phase-separate and deliver adhesive without dilution</x:v>
      </x:c>
      <x:c r="L14" s="17" t="str">
        <x:v>Protein bioadhesive</x:v>
      </x:c>
      <x:c r="M14" s="17" t="str">
        <x:v>Contact / curing</x:v>
      </x:c>
      <x:c r="N14" s="17" t="str">
        <x:v>Finite</x:v>
      </x:c>
      <x:c r="O14" s="17" t="str">
        <x:v>Genetically engineered polypeptide glue</x:v>
      </x:c>
      <x:c r="P14" s="17" t="str">
        <x:v>Tissue sealing; hard substrates</x:v>
      </x:c>
      <x:c r="Q14" s="17" t="str">
        <x:v>Widely cited (~200 reported previously)</x:v>
      </x:c>
      <x:c r="R14" s="31" t="str">
        <x:v>https://www.nature.com/articles/s41467-021-23117-9</x:v>
      </x:c>
      <x:c r="S14" s="17" t="str">
        <x:v>Strong synthetic-biology route.</x:v>
      </x:c>
      <x:c r="T14" s="32" t="str">
        <x:v>Lab-scale</x:v>
      </x:c>
      <x:c r="U14" s="33" t="str">
        <x:v>Peer-reviewed laboratory demonstration unless otherwise stated.</x:v>
      </x:c>
      <x:c r="V14" s="33" t="str">
        <x:v>Surface-specific chemistry, oxidation/cure control and long-term wet stability.</x:v>
      </x:c>
      <x:c r="W14" s="34" t="str">
        <x:v>Attachment / positioning</x:v>
      </x:c>
      <x:c r="X14" s="34" t="str">
        <x:v>Interfacial bonding; reversible chemistry</x:v>
      </x:c>
      <x:c r="Y14" s="34" t="str">
        <x:v>Locality</x:v>
      </x:c>
    </x:row>
    <x:row r="15" ht="43.5">
      <x:c r="A15" s="30" t="str">
        <x:v>A14</x:v>
      </x:c>
      <x:c r="B15" s="30" t="str">
        <x:v>Recent set</x:v>
      </x:c>
      <x:c r="C15" s="30" t="n">
        <x:v>2021</x:v>
      </x:c>
      <x:c r="D15" s="17" t="str">
        <x:v>Bioinspired Microsphere-Embedded Adhesive Architectures for an Electrothermally Actuating Transport Device</x:v>
      </x:c>
      <x:c r="E15" s="17" t="str">
        <x:v>ACS Applied Materials &amp; Interfaces</x:v>
      </x:c>
      <x:c r="F15" s="17" t="str">
        <x:v>Octopus sucker + muscle</x:v>
      </x:c>
      <x:c r="G15" s="17" t="str">
        <x:v>Controllably pick and release objects in dry/wet conditions</x:v>
      </x:c>
      <x:c r="H15" s="17" t="str">
        <x:v>Suction-like microarchitecture coupled to electrothermal actuation</x:v>
      </x:c>
      <x:c r="I15" s="17" t="str">
        <x:v>Use active deformation to switch pressure/contact state</x:v>
      </x:c>
      <x:c r="J15" s="17" t="str">
        <x:v>NA15 Switch material state to attach / release</x:v>
      </x:c>
      <x:c r="K15" s="17" t="str">
        <x:v>NA10 Generate wet friction through drainage and edge density</x:v>
      </x:c>
      <x:c r="L15" s="17" t="str">
        <x:v>Actuated suction adhesion</x:v>
      </x:c>
      <x:c r="M15" s="17" t="str">
        <x:v>Electrical/thermal actuation</x:v>
      </x:c>
      <x:c r="N15" s="17" t="str">
        <x:v>Repeatable</x:v>
      </x:c>
      <x:c r="O15" s="17" t="str">
        <x:v>Electrothermally actuated adhesive device</x:v>
      </x:c>
      <x:c r="P15" s="17" t="str">
        <x:v>Transport; manipulation</x:v>
      </x:c>
      <x:c r="Q15" s="17" t="str">
        <x:v>High-impact</x:v>
      </x:c>
      <x:c r="R15" s="31" t="str">
        <x:v>https://pubs.acs.org/doi/10.1021/acsami.0c21847</x:v>
      </x:c>
      <x:c r="S15" s="17" t="str">
        <x:v>Active switchability.</x:v>
      </x:c>
      <x:c r="T15" s="32" t="str">
        <x:v>Lab-scale</x:v>
      </x:c>
      <x:c r="U15" s="33" t="str">
        <x:v>Peer-reviewed laboratory demonstration unless otherwise stated.</x:v>
      </x:c>
      <x:c r="V15" s="33" t="str">
        <x:v>Trigger speed, energy, hysteresis, false activation and reset reliability.</x:v>
      </x:c>
      <x:c r="W15" s="34" t="str">
        <x:v>Adaptation</x:v>
      </x:c>
      <x:c r="X15" s="34" t="str">
        <x:v>State switching; reversible locking</x:v>
      </x:c>
      <x:c r="Y15" s="34" t="str">
        <x:v>Cyclicity</x:v>
      </x:c>
    </x:row>
    <x:row r="16" ht="43.5">
      <x:c r="A16" s="30" t="str">
        <x:v>A15</x:v>
      </x:c>
      <x:c r="B16" s="30" t="str">
        <x:v>Recent set</x:v>
      </x:c>
      <x:c r="C16" s="30" t="n">
        <x:v>2021</x:v>
      </x:c>
      <x:c r="D16" s="17" t="str">
        <x:v>An Electronically Perceptive Bioinspired Soft Wet-Adhesion Actuator with Carbon Nanotube-Based Strain Sensors</x:v>
      </x:c>
      <x:c r="E16" s="17" t="str">
        <x:v>ACS Nano</x:v>
      </x:c>
      <x:c r="F16" s="17" t="str">
        <x:v>Octopus sucker + sensing</x:v>
      </x:c>
      <x:c r="G16" s="17" t="str">
        <x:v>Attach while knowing contact/deformation state</x:v>
      </x:c>
      <x:c r="H16" s="17" t="str">
        <x:v>Soft wet-adhesion actuator integrated with CNT strain sensors</x:v>
      </x:c>
      <x:c r="I16" s="17" t="str">
        <x:v>Combine adhesion with perception for closed-loop control</x:v>
      </x:c>
      <x:c r="J16" s="17" t="str">
        <x:v>NA13 Coordinate multiple adhesive units as a system</x:v>
      </x:c>
      <x:c r="K16" s="17" t="str">
        <x:v>NA15 Switch material state to attach / release</x:v>
      </x:c>
      <x:c r="L16" s="17" t="str">
        <x:v>Smart wet adhesion</x:v>
      </x:c>
      <x:c r="M16" s="17" t="str">
        <x:v>Actuation + sensing</x:v>
      </x:c>
      <x:c r="N16" s="17" t="str">
        <x:v>Repeatable</x:v>
      </x:c>
      <x:c r="O16" s="17" t="str">
        <x:v>Sensorized soft adhesive actuator</x:v>
      </x:c>
      <x:c r="P16" s="17" t="str">
        <x:v>Soft robotics</x:v>
      </x:c>
      <x:c r="Q16" s="17" t="str">
        <x:v>High-impact</x:v>
      </x:c>
      <x:c r="R16" s="31" t="str">
        <x:v>https://pubs.acs.org/doi/10.1021/acsnano.1c05130</x:v>
      </x:c>
      <x:c r="S16" s="17" t="str">
        <x:v>Important sensing/control exemplar.</x:v>
      </x:c>
      <x:c r="T16" s="32" t="str">
        <x:v>Lab-scale</x:v>
      </x:c>
      <x:c r="U16" s="33" t="str">
        <x:v>Peer-reviewed laboratory demonstration unless otherwise stated.</x:v>
      </x:c>
      <x:c r="V16" s="33" t="str">
        <x:v>Sensing/control and uniform load sharing across many contacts.</x:v>
      </x:c>
      <x:c r="W16" s="34" t="str">
        <x:v>Communication &amp; feedback</x:v>
      </x:c>
      <x:c r="X16" s="34" t="str">
        <x:v>Distributed coordination; load sharing</x:v>
      </x:c>
      <x:c r="Y16" s="34" t="str">
        <x:v>Network</x:v>
      </x:c>
    </x:row>
    <x:row r="17" ht="43.5">
      <x:c r="A17" s="30" t="str">
        <x:v>A16</x:v>
      </x:c>
      <x:c r="B17" s="30" t="str">
        <x:v>Recent set</x:v>
      </x:c>
      <x:c r="C17" s="30" t="n">
        <x:v>2021</x:v>
      </x:c>
      <x:c r="D17" s="17" t="str">
        <x:v>Elastic Energy Storage Enabled Magnetically Actuated, Octopus-Inspired Smart Adhesive</x:v>
      </x:c>
      <x:c r="E17" s="17" t="str">
        <x:v>Advanced Functional Materials</x:v>
      </x:c>
      <x:c r="F17" s="17" t="str">
        <x:v>Octopus sucker</x:v>
      </x:c>
      <x:c r="G17" s="17" t="str">
        <x:v>Switch suction efficiently</x:v>
      </x:c>
      <x:c r="H17" s="17" t="str">
        <x:v>Magnetic actuation stores/releases elastic energy to control suction state</x:v>
      </x:c>
      <x:c r="I17" s="17" t="str">
        <x:v>Store actuation energy mechanically to reduce switching cost</x:v>
      </x:c>
      <x:c r="J17" s="17" t="str">
        <x:v>NA15 Switch material state to attach / release</x:v>
      </x:c>
      <x:c r="K17" s="17" t="str">
        <x:v>NA10 Generate wet friction through drainage and edge density</x:v>
      </x:c>
      <x:c r="L17" s="17" t="str">
        <x:v>Magnetically switchable suction</x:v>
      </x:c>
      <x:c r="M17" s="17" t="str">
        <x:v>Magnetic field</x:v>
      </x:c>
      <x:c r="N17" s="17" t="str">
        <x:v>Repeatable</x:v>
      </x:c>
      <x:c r="O17" s="17" t="str">
        <x:v>Magnetically actuated sucker array</x:v>
      </x:c>
      <x:c r="P17" s="17" t="str">
        <x:v>Robotics; gripping</x:v>
      </x:c>
      <x:c r="Q17" s="17" t="str">
        <x:v>High-impact</x:v>
      </x:c>
      <x:c r="R17" s="31" t="str">
        <x:v>https://advanced.onlinelibrary.wiley.com/doi/10.1002/adfm.202009217</x:v>
      </x:c>
      <x:c r="S17" s="17" t="str">
        <x:v>Energy-efficient switching.</x:v>
      </x:c>
      <x:c r="T17" s="32" t="str">
        <x:v>Lab-scale</x:v>
      </x:c>
      <x:c r="U17" s="33" t="str">
        <x:v>Peer-reviewed laboratory demonstration unless otherwise stated.</x:v>
      </x:c>
      <x:c r="V17" s="33" t="str">
        <x:v>Trigger speed, energy, hysteresis, false activation and reset reliability.</x:v>
      </x:c>
      <x:c r="W17" s="34" t="str">
        <x:v>Adaptation</x:v>
      </x:c>
      <x:c r="X17" s="34" t="str">
        <x:v>State switching; reversible locking</x:v>
      </x:c>
      <x:c r="Y17" s="34" t="str">
        <x:v>Cyclicity</x:v>
      </x:c>
    </x:row>
    <x:row r="18" ht="43.5">
      <x:c r="A18" s="30" t="str">
        <x:v>A17</x:v>
      </x:c>
      <x:c r="B18" s="30" t="str">
        <x:v>Recent set</x:v>
      </x:c>
      <x:c r="C18" s="30" t="n">
        <x:v>2021</x:v>
      </x:c>
      <x:c r="D18" s="17" t="str">
        <x:v>3D Printing of Elastomeric Bioinspired Complex Adhesive Microstructures</x:v>
      </x:c>
      <x:c r="E18" s="17" t="str">
        <x:v>Advanced Materials</x:v>
      </x:c>
      <x:c r="F18" s="17" t="str">
        <x:v>Gecko + octopus + springtail</x:v>
      </x:c>
      <x:c r="G18" s="17" t="str">
        <x:v>Combine dry/wet adhesion and repellency</x:v>
      </x:c>
      <x:c r="H18" s="17" t="str">
        <x:v>3D-printed hybrid microstructures integrate fibrillar and suction-like features</x:v>
      </x:c>
      <x:c r="I18" s="17" t="str">
        <x:v>Use additive manufacturing to combine mechanisms in one surface</x:v>
      </x:c>
      <x:c r="J18" s="17" t="str">
        <x:v>NA07 Combine structural + chemical adhesion</x:v>
      </x:c>
      <x:c r="K18" s="17" t="str">
        <x:v>NA02 Build hierarchy across scales</x:v>
      </x:c>
      <x:c r="L18" s="17" t="str">
        <x:v>Hybrid structured adhesion</x:v>
      </x:c>
      <x:c r="M18" s="17" t="str">
        <x:v>Contact</x:v>
      </x:c>
      <x:c r="N18" s="17" t="str">
        <x:v>Repeatable</x:v>
      </x:c>
      <x:c r="O18" s="17" t="str">
        <x:v>3D-printed elastomeric adhesive microstructures</x:v>
      </x:c>
      <x:c r="P18" s="17" t="str">
        <x:v>Robotics; manipulation</x:v>
      </x:c>
      <x:c r="Q18" s="17" t="str">
        <x:v>High-impact</x:v>
      </x:c>
      <x:c r="R18" s="31" t="str">
        <x:v>https://onlinelibrary.wiley.com/doi/10.1002/adma.202103826</x:v>
      </x:c>
      <x:c r="S18" s="17" t="str">
        <x:v>Strong multi-mechanism platform.</x:v>
      </x:c>
      <x:c r="T18" s="32" t="str">
        <x:v>Lab-scale</x:v>
      </x:c>
      <x:c r="U18" s="33" t="str">
        <x:v>Peer-reviewed laboratory demonstration unless otherwise stated.</x:v>
      </x:c>
      <x:c r="V18" s="33" t="str">
        <x:v>Integrating mechanisms without one blocking the other; manufacturing complexity.</x:v>
      </x:c>
      <x:c r="W18" s="34" t="str">
        <x:v>Attachment / positioning</x:v>
      </x:c>
      <x:c r="X18" s="34" t="str">
        <x:v>Hybrid multi-mechanism interface</x:v>
      </x:c>
      <x:c r="Y18" s="34" t="str">
        <x:v>Multi-scale</x:v>
      </x:c>
    </x:row>
    <x:row r="19" ht="43.5">
      <x:c r="A19" s="30" t="str">
        <x:v>A18</x:v>
      </x:c>
      <x:c r="B19" s="30" t="str">
        <x:v>Recent set</x:v>
      </x:c>
      <x:c r="C19" s="30" t="n">
        <x:v>2021</x:v>
      </x:c>
      <x:c r="D19" s="17" t="str">
        <x:v>Tree Frog-Inspired Structured Hydrogel Adhesive with Regulated Liquid</x:v>
      </x:c>
      <x:c r="E19" s="17" t="str">
        <x:v>Advanced Materials Interfaces</x:v>
      </x:c>
      <x:c r="F19" s="17" t="str">
        <x:v>Tree frog toe pad + mucus</x:v>
      </x:c>
      <x:c r="G19" s="17" t="str">
        <x:v>Adhere on wet surfaces with controlled interfacial liquid</x:v>
      </x:c>
      <x:c r="H19" s="17" t="str">
        <x:v>Structured hydrogel separates solid contact, capillary and liquid-viscosity roles</x:v>
      </x:c>
      <x:c r="I19" s="17" t="str">
        <x:v>Regulate liquid volume/viscosity instead of treating water as noise</x:v>
      </x:c>
      <x:c r="J19" s="17" t="str">
        <x:v>NA10 Generate wet friction through drainage and edge density</x:v>
      </x:c>
      <x:c r="K19" s="17" t="str">
        <x:v>NA14 Regulate adhesion using environmental conditions</x:v>
      </x:c>
      <x:c r="L19" s="17" t="str">
        <x:v>Wet hydrogel adhesion</x:v>
      </x:c>
      <x:c r="M19" s="17" t="str">
        <x:v>Wet contact</x:v>
      </x:c>
      <x:c r="N19" s="17" t="str">
        <x:v>Repeatable</x:v>
      </x:c>
      <x:c r="O19" s="17" t="str">
        <x:v>Structured hydrogel pad</x:v>
      </x:c>
      <x:c r="P19" s="17" t="str">
        <x:v>Wet interfaces</x:v>
      </x:c>
      <x:c r="Q19" s="17" t="str">
        <x:v>High-impact</x:v>
      </x:c>
      <x:c r="R19" s="31" t="str">
        <x:v>https://advanced.onlinelibrary.wiley.com/doi/10.1002/admi.202100528</x:v>
      </x:c>
      <x:c r="S19" s="17" t="str">
        <x:v>Good mechanism separation.</x:v>
      </x:c>
      <x:c r="T19" s="32" t="str">
        <x:v>Lab-scale</x:v>
      </x:c>
      <x:c r="U19" s="33" t="str">
        <x:v>Peer-reviewed laboratory demonstration unless otherwise stated.</x:v>
      </x:c>
      <x:c r="V19" s="33" t="str">
        <x:v>Seal/drainage robustness on rough surfaces and across fluid conditions.</x:v>
      </x:c>
      <x:c r="W19" s="34" t="str">
        <x:v>Resistance reduction</x:v>
      </x:c>
      <x:c r="X19" s="34" t="str">
        <x:v>Fluid drainage; wet friction; pressure control</x:v>
      </x:c>
      <x:c r="Y19" s="34" t="str">
        <x:v>Locality</x:v>
      </x:c>
    </x:row>
    <x:row r="20" ht="43.5">
      <x:c r="A20" s="30" t="str">
        <x:v>A19</x:v>
      </x:c>
      <x:c r="B20" s="30" t="str">
        <x:v>Recent set</x:v>
      </x:c>
      <x:c r="C20" s="30" t="n">
        <x:v>2021</x:v>
      </x:c>
      <x:c r="D20" s="17" t="str">
        <x:v>Tree frog-inspired nanopillar arrays for enhancement of adhesion and friction</x:v>
      </x:c>
      <x:c r="E20" s="17" t="str">
        <x:v>Biointerphases</x:v>
      </x:c>
      <x:c r="F20" s="17" t="str">
        <x:v>Tree frog keratin nanopillars</x:v>
      </x:c>
      <x:c r="G20" s="17" t="str">
        <x:v>Increase adhesion/friction on smooth and rough surfaces</x:v>
      </x:c>
      <x:c r="H20" s="17" t="str">
        <x:v>Closely packed PCL nanorods alter contact stiffness and friction</x:v>
      </x:c>
      <x:c r="I20" s="17" t="str">
        <x:v>Dense nanorods can tune friction and conformity beyond micropillars</x:v>
      </x:c>
      <x:c r="J20" s="17" t="str">
        <x:v>NA10 Generate wet friction through drainage and edge density</x:v>
      </x:c>
      <x:c r="K20" s="17" t="str">
        <x:v>NA04 Control system compliance and load path</x:v>
      </x:c>
      <x:c r="L20" s="17" t="str">
        <x:v>Structured adhesion/friction</x:v>
      </x:c>
      <x:c r="M20" s="17" t="str">
        <x:v>Contact</x:v>
      </x:c>
      <x:c r="N20" s="17" t="str">
        <x:v>Repeatable</x:v>
      </x:c>
      <x:c r="O20" s="17" t="str">
        <x:v>PCL nanorod arrays</x:v>
      </x:c>
      <x:c r="P20" s="17" t="str">
        <x:v>Robots; medical devices</x:v>
      </x:c>
      <x:c r="Q20" s="17" t="str">
        <x:v>High-impact</x:v>
      </x:c>
      <x:c r="R20" s="31" t="str">
        <x:v>https://pubmed.ncbi.nlm.nih.gov/33706530/</x:v>
      </x:c>
      <x:c r="S20" s="17" t="str">
        <x:v>DOI 10.1116/6.0000747.</x:v>
      </x:c>
      <x:c r="T20" s="32" t="str">
        <x:v>Lab-scale</x:v>
      </x:c>
      <x:c r="U20" s="33" t="str">
        <x:v>Peer-reviewed laboratory demonstration unless otherwise stated.</x:v>
      </x:c>
      <x:c r="V20" s="33" t="str">
        <x:v>Seal/drainage robustness on rough surfaces and across fluid conditions.</x:v>
      </x:c>
      <x:c r="W20" s="34" t="str">
        <x:v>Resistance reduction</x:v>
      </x:c>
      <x:c r="X20" s="34" t="str">
        <x:v>Fluid drainage; wet friction; pressure control</x:v>
      </x:c>
      <x:c r="Y20" s="34" t="str">
        <x:v>Locality</x:v>
      </x:c>
    </x:row>
    <x:row r="21" ht="43.5">
      <x:c r="A21" s="30" t="str">
        <x:v>A20</x:v>
      </x:c>
      <x:c r="B21" s="30" t="str">
        <x:v>Recent set</x:v>
      </x:c>
      <x:c r="C21" s="30" t="n">
        <x:v>2021</x:v>
      </x:c>
      <x:c r="D21" s="17" t="str">
        <x:v>Bioinspired Self-Healable Polyallylamine-Based Hydrogels for Wet Adhesion</x:v>
      </x:c>
      <x:c r="E21" s="17" t="str">
        <x:v>ACS Applied Materials &amp; Interfaces</x:v>
      </x:c>
      <x:c r="F21" s="17" t="str">
        <x:v>Mussel foot proteins</x:v>
      </x:c>
      <x:c r="G21" s="17" t="str">
        <x:v>Maintain wet adhesion and recover network damage</x:v>
      </x:c>
      <x:c r="H21" s="17" t="str">
        <x:v>Catechol + amine synergy with dynamic imine bonds and nanosilicate reinforcement</x:v>
      </x:c>
      <x:c r="I21" s="17" t="str">
        <x:v>Combine wet interfacial chemistry with reversible internal network</x:v>
      </x:c>
      <x:c r="J21" s="17" t="str">
        <x:v>NA06 Use reversible molecular surface anchoring</x:v>
      </x:c>
      <x:c r="K21" s="17" t="str">
        <x:v>NA15 Switch material state to attach / release</x:v>
      </x:c>
      <x:c r="L21" s="17" t="str">
        <x:v>Self-healing wet hydrogel</x:v>
      </x:c>
      <x:c r="M21" s="17" t="str">
        <x:v>Contact / dynamic bonding</x:v>
      </x:c>
      <x:c r="N21" s="17" t="str">
        <x:v>Repeatable</x:v>
      </x:c>
      <x:c r="O21" s="17" t="str">
        <x:v>Polyallylamine-based hydrogel</x:v>
      </x:c>
      <x:c r="P21" s="17" t="str">
        <x:v>Wet adhesion; biomedical</x:v>
      </x:c>
      <x:c r="Q21" s="17" t="str">
        <x:v>High-impact</x:v>
      </x:c>
      <x:c r="R21" s="31" t="str">
        <x:v>https://pubs.acs.org/doi/10.1021/acsami.1c02141</x:v>
      </x:c>
      <x:c r="S21" s="17" t="str">
        <x:v>Relevant to reusable wet adhesives.</x:v>
      </x:c>
      <x:c r="T21" s="32" t="str">
        <x:v>Lab-scale</x:v>
      </x:c>
      <x:c r="U21" s="33" t="str">
        <x:v>Peer-reviewed laboratory demonstration unless otherwise stated.</x:v>
      </x:c>
      <x:c r="V21" s="33" t="str">
        <x:v>Surface-specific chemistry, oxidation/cure control and long-term wet stability.</x:v>
      </x:c>
      <x:c r="W21" s="34" t="str">
        <x:v>Attachment / positioning</x:v>
      </x:c>
      <x:c r="X21" s="34" t="str">
        <x:v>Interfacial bonding; reversible chemistry</x:v>
      </x:c>
      <x:c r="Y21" s="34" t="str">
        <x:v>Locality</x:v>
      </x:c>
    </x:row>
    <x:row r="22" ht="43.5">
      <x:c r="A22" s="30" t="str">
        <x:v>A21</x:v>
      </x:c>
      <x:c r="B22" s="30" t="str">
        <x:v>Recent set</x:v>
      </x:c>
      <x:c r="C22" s="30" t="n">
        <x:v>2021</x:v>
      </x:c>
      <x:c r="D22" s="17" t="str">
        <x:v>Gecko-Like Dry Adhesive Surfaces and Their Applications: A Review</x:v>
      </x:c>
      <x:c r="E22" s="17" t="str">
        <x:v>Journal of Bionic Engineering</x:v>
      </x:c>
      <x:c r="F22" s="17" t="str">
        <x:v>Gecko</x:v>
      </x:c>
      <x:c r="G22" s="17" t="str">
        <x:v>Synthesize design/application knowledge for dry fibrillar adhesion</x:v>
      </x:c>
      <x:c r="H22" s="17" t="str">
        <x:v>Reviews hierarchy, contact splitting, self-cleaning, controllability and applications</x:v>
      </x:c>
      <x:c r="I22" s="17" t="str">
        <x:v>Use morphology + mechanics + application constraints together</x:v>
      </x:c>
      <x:c r="J22" s="17" t="str">
        <x:v>NA01 Split contact into many small contacts</x:v>
      </x:c>
      <x:c r="K22" s="17" t="str">
        <x:v>NA02 Build hierarchy across scales</x:v>
      </x:c>
      <x:c r="L22" s="17" t="str">
        <x:v>Review</x:v>
      </x:c>
      <x:c r="M22" s="17" t="str">
        <x:v>n/a</x:v>
      </x:c>
      <x:c r="N22" s="17" t="str">
        <x:v>n/a</x:v>
      </x:c>
      <x:c r="O22" s="17" t="str">
        <x:v>Review</x:v>
      </x:c>
      <x:c r="P22" s="17" t="str">
        <x:v>Robots; grippers; medical tape</x:v>
      </x:c>
      <x:c r="Q22" s="17" t="str">
        <x:v>Widely cited review</x:v>
      </x:c>
      <x:c r="R22" s="31" t="str">
        <x:v>https://link.springer.com/article/10.1007/s42235-021-00088-7</x:v>
      </x:c>
      <x:c r="S22" s="17" t="str">
        <x:v>Review evidence.</x:v>
      </x:c>
      <x:c r="T22" s="32" t="str">
        <x:v>N/A — review / synthesis</x:v>
      </x:c>
      <x:c r="U22" s="33" t="str">
        <x:v>Peer-reviewed review; use for taxonomy/vocabulary, not device maturity.</x:v>
      </x:c>
      <x:c r="V22" s="33" t="str">
        <x:v>Not applicable as a single engineering implementation.</x:v>
      </x:c>
      <x:c r="W22" s="34" t="str">
        <x:v>Strength</x:v>
      </x:c>
      <x:c r="X22" s="34" t="str">
        <x:v>Contact multiplication; distributed load sharing</x:v>
      </x:c>
      <x:c r="Y22" s="34" t="str">
        <x:v>Multi-scale</x:v>
      </x:c>
    </x:row>
    <x:row r="23" ht="43.5">
      <x:c r="A23" s="30" t="str">
        <x:v>A22</x:v>
      </x:c>
      <x:c r="B23" s="30" t="str">
        <x:v>Recent set</x:v>
      </x:c>
      <x:c r="C23" s="30" t="n">
        <x:v>2022</x:v>
      </x:c>
      <x:c r="D23" s="17" t="str">
        <x:v>Hydrogen-bonds mediate liquid-liquid phase separation of mussel derived adhesive peptides</x:v>
      </x:c>
      <x:c r="E23" s="17" t="str">
        <x:v>Nature Communications</x:v>
      </x:c>
      <x:c r="F23" s="17" t="str">
        <x:v>Mussel adhesive peptides</x:v>
      </x:c>
      <x:c r="G23" s="17" t="str">
        <x:v>Concentrate adhesive proteins before underwater deposition</x:v>
      </x:c>
      <x:c r="H23" s="17" t="str">
        <x:v>Hydrogen bonding drives coacervate-like LLPS of adhesive peptides</x:v>
      </x:c>
      <x:c r="I23" s="17" t="str">
        <x:v>Use controllable H-bond networks to create dense delivery phase</x:v>
      </x:c>
      <x:c r="J23" s="17" t="str">
        <x:v>NA08 Phase-separate and deliver adhesive without dilution</x:v>
      </x:c>
      <x:c r="K23" s="17" t="str">
        <x:v>NA06 Use reversible molecular surface anchoring</x:v>
      </x:c>
      <x:c r="L23" s="17" t="str">
        <x:v>Coacervate delivery</x:v>
      </x:c>
      <x:c r="M23" s="17" t="str">
        <x:v>Molecular environment</x:v>
      </x:c>
      <x:c r="N23" s="17" t="str">
        <x:v>Reversible phase behavior</x:v>
      </x:c>
      <x:c r="O23" s="17" t="str">
        <x:v>Mussel-derived peptide condensates</x:v>
      </x:c>
      <x:c r="P23" s="17" t="str">
        <x:v>Underwater adhesive delivery</x:v>
      </x:c>
      <x:c r="Q23" s="17" t="str">
        <x:v>Widely cited (~150 reported previously)</x:v>
      </x:c>
      <x:c r="R23" s="31" t="str">
        <x:v>https://www.nature.com/articles/s41467-022-33545-w</x:v>
      </x:c>
      <x:c r="S23" s="17" t="str">
        <x:v>Major mechanistic LLPS paper.</x:v>
      </x:c>
      <x:c r="T23" s="32" t="str">
        <x:v>Lab-scale</x:v>
      </x:c>
      <x:c r="U23" s="33" t="str">
        <x:v>Peer-reviewed laboratory demonstration unless otherwise stated.</x:v>
      </x:c>
      <x:c r="V23" s="33" t="str">
        <x:v>Controlling phase window, viscosity, delivery and post-deposition cure.</x:v>
      </x:c>
      <x:c r="W23" s="34" t="str">
        <x:v>Transport &amp; delivery</x:v>
      </x:c>
      <x:c r="X23" s="34" t="str">
        <x:v>Phase separation; targeted delivery</x:v>
      </x:c>
      <x:c r="Y23" s="34" t="str">
        <x:v>Gradient</x:v>
      </x:c>
    </x:row>
    <x:row r="24" ht="43.5">
      <x:c r="A24" s="30" t="str">
        <x:v>A23</x:v>
      </x:c>
      <x:c r="B24" s="30" t="str">
        <x:v>Recent set</x:v>
      </x:c>
      <x:c r="C24" s="30" t="n">
        <x:v>2022</x:v>
      </x:c>
      <x:c r="D24" s="17" t="str">
        <x:v>A New Concept for an Adhesive Material Inspired by Clingfish Sucker Nanofilaments</x:v>
      </x:c>
      <x:c r="E24" s="17" t="str">
        <x:v>Langmuir</x:v>
      </x:c>
      <x:c r="F24" s="17" t="str">
        <x:v>Clingfish</x:v>
      </x:c>
      <x:c r="G24" s="17" t="str">
        <x:v>Balance compliance and structural support underwater</x:v>
      </x:c>
      <x:c r="H24" s="17" t="str">
        <x:v>Hard nanofilaments brace a softer mucus-like/contact layer</x:v>
      </x:c>
      <x:c r="I24" s="17" t="str">
        <x:v>Use hard/soft composite architecture to preserve seal and friction</x:v>
      </x:c>
      <x:c r="J24" s="17" t="str">
        <x:v>NA10 Generate wet friction through drainage and edge density</x:v>
      </x:c>
      <x:c r="K24" s="17" t="str">
        <x:v>NA04 Control system compliance and load path</x:v>
      </x:c>
      <x:c r="L24" s="17" t="str">
        <x:v>Wet structural adhesion</x:v>
      </x:c>
      <x:c r="M24" s="17" t="str">
        <x:v>Wet contact</x:v>
      </x:c>
      <x:c r="N24" s="17" t="str">
        <x:v>Repeatable</x:v>
      </x:c>
      <x:c r="O24" s="17" t="str">
        <x:v>Clingfish-inspired composite adhesive</x:v>
      </x:c>
      <x:c r="P24" s="17" t="str">
        <x:v>Underwater gripping</x:v>
      </x:c>
      <x:c r="Q24" s="17" t="str">
        <x:v>High-impact</x:v>
      </x:c>
      <x:c r="R24" s="31" t="str">
        <x:v>https://pubs.acs.org/doi/10.1021/acs.langmuir.1c02972</x:v>
      </x:c>
      <x:c r="S24" s="17" t="str">
        <x:v>Hard-soft balance.</x:v>
      </x:c>
      <x:c r="T24" s="32" t="str">
        <x:v>Lab-scale</x:v>
      </x:c>
      <x:c r="U24" s="33" t="str">
        <x:v>Peer-reviewed laboratory demonstration unless otherwise stated.</x:v>
      </x:c>
      <x:c r="V24" s="33" t="str">
        <x:v>Seal/drainage robustness on rough surfaces and across fluid conditions.</x:v>
      </x:c>
      <x:c r="W24" s="34" t="str">
        <x:v>Resistance reduction</x:v>
      </x:c>
      <x:c r="X24" s="34" t="str">
        <x:v>Fluid drainage; wet friction; pressure control</x:v>
      </x:c>
      <x:c r="Y24" s="34" t="str">
        <x:v>Locality</x:v>
      </x:c>
    </x:row>
    <x:row r="25" ht="43.5">
      <x:c r="A25" s="30" t="str">
        <x:v>A24</x:v>
      </x:c>
      <x:c r="B25" s="30" t="str">
        <x:v>Recent set</x:v>
      </x:c>
      <x:c r="C25" s="30" t="n">
        <x:v>2022</x:v>
      </x:c>
      <x:c r="D25" s="17" t="str">
        <x:v>Octopus-inspired adhesive skins for intelligent and rapidly switchable underwater adhesion</x:v>
      </x:c>
      <x:c r="E25" s="17" t="str">
        <x:v>Science Advances</x:v>
      </x:c>
      <x:c r="F25" s="17" t="str">
        <x:v>Octopus sucker + sensory control</x:v>
      </x:c>
      <x:c r="G25" s="17" t="str">
        <x:v>Attach underwater and switch quickly/intelligently</x:v>
      </x:c>
      <x:c r="H25" s="17" t="str">
        <x:v>Responsive skin with suction-inspired attachment and sensing/control</x:v>
      </x:c>
      <x:c r="I25" s="17" t="str">
        <x:v>Treat adhesion as an intelligent state, not a passive surface property</x:v>
      </x:c>
      <x:c r="J25" s="17" t="str">
        <x:v>NA15 Switch material state to attach / release</x:v>
      </x:c>
      <x:c r="K25" s="17" t="str">
        <x:v>NA13 Coordinate multiple adhesive units as a system</x:v>
      </x:c>
      <x:c r="L25" s="17" t="str">
        <x:v>Smart underwater adhesion</x:v>
      </x:c>
      <x:c r="M25" s="17" t="str">
        <x:v>Active actuation/control</x:v>
      </x:c>
      <x:c r="N25" s="17" t="str">
        <x:v>Repeatable</x:v>
      </x:c>
      <x:c r="O25" s="17" t="str">
        <x:v>Octopus-inspired adhesive skin</x:v>
      </x:c>
      <x:c r="P25" s="17" t="str">
        <x:v>Underwater robotics</x:v>
      </x:c>
      <x:c r="Q25" s="17" t="str">
        <x:v>High-impact</x:v>
      </x:c>
      <x:c r="R25" s="31" t="str">
        <x:v>https://doi.org/10.1126/sciadv.abq1905</x:v>
      </x:c>
      <x:c r="S25" s="17" t="str">
        <x:v>Important intelligent-adhesion exemplar.</x:v>
      </x:c>
      <x:c r="T25" s="32" t="str">
        <x:v>Lab-scale</x:v>
      </x:c>
      <x:c r="U25" s="33" t="str">
        <x:v>Peer-reviewed laboratory demonstration unless otherwise stated.</x:v>
      </x:c>
      <x:c r="V25" s="33" t="str">
        <x:v>Trigger speed, energy, hysteresis, false activation and reset reliability.</x:v>
      </x:c>
      <x:c r="W25" s="34" t="str">
        <x:v>Adaptation</x:v>
      </x:c>
      <x:c r="X25" s="34" t="str">
        <x:v>State switching; reversible locking</x:v>
      </x:c>
      <x:c r="Y25" s="34" t="str">
        <x:v>Cyclicity</x:v>
      </x:c>
    </x:row>
    <x:row r="26" ht="29">
      <x:c r="A26" s="30" t="str">
        <x:v>A25</x:v>
      </x:c>
      <x:c r="B26" s="30" t="str">
        <x:v>Recent set</x:v>
      </x:c>
      <x:c r="C26" s="30" t="n">
        <x:v>2022</x:v>
      </x:c>
      <x:c r="D26" s="17" t="str">
        <x:v>Mussel Inspired Trigger-Detachable Adhesive Hydrogel</x:v>
      </x:c>
      <x:c r="E26" s="17" t="str">
        <x:v>Small</x:v>
      </x:c>
      <x:c r="F26" s="17" t="str">
        <x:v>Mussel</x:v>
      </x:c>
      <x:c r="G26" s="17" t="str">
        <x:v>Strong tissue/material adhesion with damage-free removal</x:v>
      </x:c>
      <x:c r="H26" s="17" t="str">
        <x:v>Mussel chemistry provides strong wet attachment; designed trigger enables detachment</x:v>
      </x:c>
      <x:c r="I26" s="17" t="str">
        <x:v>Build release pathway into a strong wet adhesive from the start</x:v>
      </x:c>
      <x:c r="J26" s="17" t="str">
        <x:v>NA15 Switch material state to attach / release</x:v>
      </x:c>
      <x:c r="K26" s="17" t="str">
        <x:v>NA06 Use reversible molecular surface anchoring</x:v>
      </x:c>
      <x:c r="L26" s="17" t="str">
        <x:v>Trigger-detachable wet hydrogel</x:v>
      </x:c>
      <x:c r="M26" s="17" t="str">
        <x:v>Shear/trigger</x:v>
      </x:c>
      <x:c r="N26" s="17" t="str">
        <x:v>Repeatable/limited</x:v>
      </x:c>
      <x:c r="O26" s="17" t="str">
        <x:v>Mussel-inspired hydrogel</x:v>
      </x:c>
      <x:c r="P26" s="17" t="str">
        <x:v>Biomedical adhesion</x:v>
      </x:c>
      <x:c r="Q26" s="17" t="str">
        <x:v>High-impact</x:v>
      </x:c>
      <x:c r="R26" s="31" t="str">
        <x:v>https://onlinelibrary.wiley.com/doi/10.1002/smll.202200336</x:v>
      </x:c>
      <x:c r="S26" s="17" t="str">
        <x:v>Release strategy anchor.</x:v>
      </x:c>
      <x:c r="T26" s="32" t="str">
        <x:v>Lab-scale</x:v>
      </x:c>
      <x:c r="U26" s="33" t="str">
        <x:v>Peer-reviewed laboratory demonstration unless otherwise stated.</x:v>
      </x:c>
      <x:c r="V26" s="33" t="str">
        <x:v>Trigger speed, energy, hysteresis, false activation and reset reliability.</x:v>
      </x:c>
      <x:c r="W26" s="34" t="str">
        <x:v>Adaptation</x:v>
      </x:c>
      <x:c r="X26" s="34" t="str">
        <x:v>State switching; reversible locking</x:v>
      </x:c>
      <x:c r="Y26" s="34" t="str">
        <x:v>Cyclicity</x:v>
      </x:c>
    </x:row>
    <x:row r="27" ht="43.5">
      <x:c r="A27" s="30" t="str">
        <x:v>A26</x:v>
      </x:c>
      <x:c r="B27" s="30" t="str">
        <x:v>Recent set</x:v>
      </x:c>
      <x:c r="C27" s="30" t="n">
        <x:v>2022</x:v>
      </x:c>
      <x:c r="D27" s="17" t="str">
        <x:v>Tough Carbon Nanotube-Implanted Bioinspired Three-Dimensional Electrical Adhesive for Isotropically Stretchable Water-Repellent Bioelectronics</x:v>
      </x:c>
      <x:c r="E27" s="17" t="str">
        <x:v>Advanced Functional Materials</x:v>
      </x:c>
      <x:c r="F27" s="17" t="str">
        <x:v>Diving beetle / bioinspired adhesive structure</x:v>
      </x:c>
      <x:c r="G27" s="17" t="str">
        <x:v>Attach electronics conformally under wet/dry motion</x:v>
      </x:c>
      <x:c r="H27" s="17" t="str">
        <x:v>Hierarchical 3D adhesive microstructure plus CNT network and water repellency</x:v>
      </x:c>
      <x:c r="I27" s="17" t="str">
        <x:v>Integrate adhesion, conductivity and environmental protection across scales</x:v>
      </x:c>
      <x:c r="J27" s="17" t="str">
        <x:v>NA07 Combine structural + chemical adhesion</x:v>
      </x:c>
      <x:c r="K27" s="17" t="str">
        <x:v>NA02 Build hierarchy across scales</x:v>
      </x:c>
      <x:c r="L27" s="17" t="str">
        <x:v>Multifunctional adhesion</x:v>
      </x:c>
      <x:c r="M27" s="17" t="str">
        <x:v>Contact</x:v>
      </x:c>
      <x:c r="N27" s="17" t="str">
        <x:v>Repeatable</x:v>
      </x:c>
      <x:c r="O27" s="17" t="str">
        <x:v>CNT-implanted 3D electrical adhesive</x:v>
      </x:c>
      <x:c r="P27" s="17" t="str">
        <x:v>Bioelectronics</x:v>
      </x:c>
      <x:c r="Q27" s="17" t="str">
        <x:v>High-impact</x:v>
      </x:c>
      <x:c r="R27" s="31" t="str">
        <x:v>https://advanced.onlinelibrary.wiley.com/doi/10.1002/adfm.202107285</x:v>
      </x:c>
      <x:c r="S27" s="17" t="str">
        <x:v>Multifunctional platform.</x:v>
      </x:c>
      <x:c r="T27" s="32" t="str">
        <x:v>Lab-scale</x:v>
      </x:c>
      <x:c r="U27" s="33" t="str">
        <x:v>Peer-reviewed laboratory demonstration unless otherwise stated.</x:v>
      </x:c>
      <x:c r="V27" s="33" t="str">
        <x:v>Integrating mechanisms without one blocking the other; manufacturing complexity.</x:v>
      </x:c>
      <x:c r="W27" s="34" t="str">
        <x:v>Attachment / positioning</x:v>
      </x:c>
      <x:c r="X27" s="34" t="str">
        <x:v>Hybrid multi-mechanism interface</x:v>
      </x:c>
      <x:c r="Y27" s="34" t="str">
        <x:v>Multi-scale</x:v>
      </x:c>
    </x:row>
    <x:row r="28" ht="43.5">
      <x:c r="A28" s="30" t="str">
        <x:v>A27</x:v>
      </x:c>
      <x:c r="B28" s="30" t="str">
        <x:v>Recent set</x:v>
      </x:c>
      <x:c r="C28" s="30" t="n">
        <x:v>2022</x:v>
      </x:c>
      <x:c r="D28" s="17" t="str">
        <x:v>Biomimetic Polymer Adhesives</x:v>
      </x:c>
      <x:c r="E28" s="17" t="str">
        <x:v>ACS Applied Polymer Materials</x:v>
      </x:c>
      <x:c r="F28" s="17" t="str">
        <x:v>Gecko, mussel, octopus, tree frog</x:v>
      </x:c>
      <x:c r="G28" s="17" t="str">
        <x:v>Compare dry/wet biomimetic polymer routes</x:v>
      </x:c>
      <x:c r="H28" s="17" t="str">
        <x:v>Review of structural and chemical bioadhesion mechanisms</x:v>
      </x:c>
      <x:c r="I28" s="17" t="str">
        <x:v>Use mechanism taxonomy to match environment and substrate</x:v>
      </x:c>
      <x:c r="J28" s="17" t="str">
        <x:v>NA07 Combine structural + chemical adhesion</x:v>
      </x:c>
      <x:c r="K28" s="17" t="str">
        <x:v>NA06 Use reversible molecular surface anchoring</x:v>
      </x:c>
      <x:c r="L28" s="17" t="str">
        <x:v>Review</x:v>
      </x:c>
      <x:c r="M28" s="17" t="str">
        <x:v>n/a</x:v>
      </x:c>
      <x:c r="N28" s="17" t="str">
        <x:v>n/a</x:v>
      </x:c>
      <x:c r="O28" s="17" t="str">
        <x:v>Review</x:v>
      </x:c>
      <x:c r="P28" s="17" t="str">
        <x:v>Broad adhesive applications</x:v>
      </x:c>
      <x:c r="Q28" s="17" t="str">
        <x:v>Widely cited review</x:v>
      </x:c>
      <x:c r="R28" s="31" t="str">
        <x:v>https://pubs.acs.org/doi/10.1021/acsapm.1c01285</x:v>
      </x:c>
      <x:c r="S28" s="17" t="str">
        <x:v>Review evidence.</x:v>
      </x:c>
      <x:c r="T28" s="32" t="str">
        <x:v>N/A — review / synthesis</x:v>
      </x:c>
      <x:c r="U28" s="33" t="str">
        <x:v>Peer-reviewed review; use for taxonomy/vocabulary, not device maturity.</x:v>
      </x:c>
      <x:c r="V28" s="33" t="str">
        <x:v>Not applicable as a single engineering implementation.</x:v>
      </x:c>
      <x:c r="W28" s="34" t="str">
        <x:v>Attachment / positioning</x:v>
      </x:c>
      <x:c r="X28" s="34" t="str">
        <x:v>Hybrid multi-mechanism interface</x:v>
      </x:c>
      <x:c r="Y28" s="34" t="str">
        <x:v>Multi-scale</x:v>
      </x:c>
    </x:row>
    <x:row r="29" ht="43.5">
      <x:c r="A29" s="30" t="str">
        <x:v>A28</x:v>
      </x:c>
      <x:c r="B29" s="30" t="str">
        <x:v>Recent set</x:v>
      </x:c>
      <x:c r="C29" s="30" t="n">
        <x:v>2023</x:v>
      </x:c>
      <x:c r="D29" s="17" t="str">
        <x:v>Bioinspired Microstructured Adhesives with Facile and Fast Switchability for Part Manipulation in Dry and Wet Conditions</x:v>
      </x:c>
      <x:c r="E29" s="17" t="str">
        <x:v>Advanced Functional Materials</x:v>
      </x:c>
      <x:c r="F29" s="17" t="str">
        <x:v>Gecko/ladybird-inspired microstructures; suction effect</x:v>
      </x:c>
      <x:c r="G29" s="17" t="str">
        <x:v>Pick and release fragile tiny parts with minimal trigger force</x:v>
      </x:c>
      <x:c r="H29" s="17" t="str">
        <x:v>Trapezoidal-prism + mushroom microstructures yield high attach and near-zero detach stress; wet suction retained</x:v>
      </x:c>
      <x:c r="I29" s="17" t="str">
        <x:v>Encode high-force and release states into one geometry</x:v>
      </x:c>
      <x:c r="J29" s="17" t="str">
        <x:v>NA15 Switch material state to attach / release</x:v>
      </x:c>
      <x:c r="K29" s="17" t="str">
        <x:v>NA03 Make adhesion directional / anisotropic</x:v>
      </x:c>
      <x:c r="L29" s="17" t="str">
        <x:v>Switchable microstructured adhesion</x:v>
      </x:c>
      <x:c r="M29" s="17" t="str">
        <x:v>Shear trigger</x:v>
      </x:c>
      <x:c r="N29" s="17" t="str">
        <x:v>Repeatable</x:v>
      </x:c>
      <x:c r="O29" s="17" t="str">
        <x:v>Elastomeric hybrid microstructure</x:v>
      </x:c>
      <x:c r="P29" s="17" t="str">
        <x:v>Transfer printing; pick-and-place</x:v>
      </x:c>
      <x:c r="Q29" s="17" t="str">
        <x:v>High-impact</x:v>
      </x:c>
      <x:c r="R29" s="31" t="str">
        <x:v>https://advanced.onlinelibrary.wiley.com/doi/10.1002/adfm.202303116</x:v>
      </x:c>
      <x:c r="S29" s="17" t="str">
        <x:v>87.8 kPa attach, &lt;0.07 kPa detach reported by publisher.</x:v>
      </x:c>
      <x:c r="T29" s="32" t="str">
        <x:v>Lab-scale</x:v>
      </x:c>
      <x:c r="U29" s="33" t="str">
        <x:v>Peer-reviewed laboratory demonstration unless otherwise stated.</x:v>
      </x:c>
      <x:c r="V29" s="33" t="str">
        <x:v>Trigger speed, energy, hysteresis, false activation and reset reliability.</x:v>
      </x:c>
      <x:c r="W29" s="34" t="str">
        <x:v>Adaptation</x:v>
      </x:c>
      <x:c r="X29" s="34" t="str">
        <x:v>State switching; reversible locking</x:v>
      </x:c>
      <x:c r="Y29" s="34" t="str">
        <x:v>Cyclicity</x:v>
      </x:c>
    </x:row>
    <x:row r="30" ht="29">
      <x:c r="A30" s="30" t="str">
        <x:v>A29</x:v>
      </x:c>
      <x:c r="B30" s="30" t="str">
        <x:v>Recent set</x:v>
      </x:c>
      <x:c r="C30" s="30" t="n">
        <x:v>2024</x:v>
      </x:c>
      <x:c r="D30" s="17" t="str">
        <x:v>Hydrogel Patch with Biomimetic Tree Frog Micropillars for Enhanced Adhesion and Perspiration Wicking</x:v>
      </x:c>
      <x:c r="E30" s="17" t="str">
        <x:v>ACS Applied Polymer Materials</x:v>
      </x:c>
      <x:c r="F30" s="17" t="str">
        <x:v>Tree frog toe pad</x:v>
      </x:c>
      <x:c r="G30" s="17" t="str">
        <x:v>Adhere to sweaty skin while removing perspiration</x:v>
      </x:c>
      <x:c r="H30" s="17" t="str">
        <x:v>Tree-frog micropillars wick perspiration while hydrogel maintains contact</x:v>
      </x:c>
      <x:c r="I30" s="17" t="str">
        <x:v>Couple adhesion with fluid removal to prevent hydroplaning on skin</x:v>
      </x:c>
      <x:c r="J30" s="17" t="str">
        <x:v>NA10 Generate wet friction through drainage and edge density</x:v>
      </x:c>
      <x:c r="K30" s="17" t="str">
        <x:v>NA04 Control system compliance and load path</x:v>
      </x:c>
      <x:c r="L30" s="17" t="str">
        <x:v>Wet/humid skin adhesion</x:v>
      </x:c>
      <x:c r="M30" s="17" t="str">
        <x:v>Perspiration/contact</x:v>
      </x:c>
      <x:c r="N30" s="17" t="str">
        <x:v>Repeatable</x:v>
      </x:c>
      <x:c r="O30" s="17" t="str">
        <x:v>Micropillar hydrogel patch</x:v>
      </x:c>
      <x:c r="P30" s="17" t="str">
        <x:v>Wearables</x:v>
      </x:c>
      <x:c r="Q30" s="17" t="str">
        <x:v>Recent high-impact</x:v>
      </x:c>
      <x:c r="R30" s="31" t="str">
        <x:v>https://pubs.acs.org/doi/10.1021/acsapm.4c00147</x:v>
      </x:c>
      <x:c r="S30" s="17" t="str">
        <x:v>Emerging evidence.</x:v>
      </x:c>
      <x:c r="T30" s="32" t="str">
        <x:v>Lab-scale</x:v>
      </x:c>
      <x:c r="U30" s="33" t="str">
        <x:v>Peer-reviewed laboratory demonstration unless otherwise stated.</x:v>
      </x:c>
      <x:c r="V30" s="33" t="str">
        <x:v>Seal/drainage robustness on rough surfaces and across fluid conditions.</x:v>
      </x:c>
      <x:c r="W30" s="34" t="str">
        <x:v>Resistance reduction</x:v>
      </x:c>
      <x:c r="X30" s="34" t="str">
        <x:v>Fluid drainage; wet friction; pressure control</x:v>
      </x:c>
      <x:c r="Y30" s="34" t="str">
        <x:v>Locality</x:v>
      </x:c>
    </x:row>
    <x:row r="31" ht="29">
      <x:c r="A31" s="30" t="str">
        <x:v>A30</x:v>
      </x:c>
      <x:c r="B31" s="30" t="str">
        <x:v>Recent set</x:v>
      </x:c>
      <x:c r="C31" s="30" t="n">
        <x:v>2024</x:v>
      </x:c>
      <x:c r="D31" s="17" t="str">
        <x:v>Highly Adaptive Kirigami-Metastructure Adhesive with Vertically Self-Aligning Octopus-like 3D Suction Cups</x:v>
      </x:c>
      <x:c r="E31" s="17" t="str">
        <x:v>ACS Applied Materials &amp; Interfaces</x:v>
      </x:c>
      <x:c r="F31" s="17" t="str">
        <x:v>Octopus suction cups + compliant kirigami</x:v>
      </x:c>
      <x:c r="G31" s="17" t="str">
        <x:v>Maintain suction alignment on irregular 3D wet surfaces</x:v>
      </x:c>
      <x:c r="H31" s="17" t="str">
        <x:v>Kirigami metastructure self-aligns suction cups normal to complex surface</x:v>
      </x:c>
      <x:c r="I31" s="17" t="str">
        <x:v>Use compliant macro-geometry to keep local suction elements correctly oriented</x:v>
      </x:c>
      <x:c r="J31" s="17" t="str">
        <x:v>NA15 Switch material state to attach / release</x:v>
      </x:c>
      <x:c r="K31" s="17" t="str">
        <x:v>NA10 Generate wet friction through drainage and edge density</x:v>
      </x:c>
      <x:c r="L31" s="17" t="str">
        <x:v>Adaptive suction adhesion</x:v>
      </x:c>
      <x:c r="M31" s="17" t="str">
        <x:v>Contact/deformation</x:v>
      </x:c>
      <x:c r="N31" s="17" t="str">
        <x:v>Repeatable</x:v>
      </x:c>
      <x:c r="O31" s="17" t="str">
        <x:v>Kirigami suction-cup metastructure</x:v>
      </x:c>
      <x:c r="P31" s="17" t="str">
        <x:v>Oral/biomedical interfaces; robotics</x:v>
      </x:c>
      <x:c r="Q31" s="17" t="str">
        <x:v>Recent high-impact</x:v>
      </x:c>
      <x:c r="R31" s="31" t="str">
        <x:v>https://pubs.acs.org/doi/10.1021/acsami.4c03363</x:v>
      </x:c>
      <x:c r="S31" s="17" t="str">
        <x:v>Emerging high-value design.</x:v>
      </x:c>
      <x:c r="T31" s="32" t="str">
        <x:v>Lab-scale</x:v>
      </x:c>
      <x:c r="U31" s="33" t="str">
        <x:v>Peer-reviewed laboratory demonstration unless otherwise stated.</x:v>
      </x:c>
      <x:c r="V31" s="33" t="str">
        <x:v>Trigger speed, energy, hysteresis, false activation and reset reliability.</x:v>
      </x:c>
      <x:c r="W31" s="34" t="str">
        <x:v>Adaptation</x:v>
      </x:c>
      <x:c r="X31" s="34" t="str">
        <x:v>State switching; reversible locking</x:v>
      </x:c>
      <x:c r="Y31" s="34" t="str">
        <x:v>Cyclicity</x:v>
      </x:c>
    </x:row>
    <x:row r="32" ht="29">
      <x:c r="A32" s="30" t="str">
        <x:v>F01</x:v>
      </x:c>
      <x:c r="B32" s="30" t="str">
        <x:v>Foundational</x:v>
      </x:c>
      <x:c r="C32" s="30" t="n">
        <x:v>2000</x:v>
      </x:c>
      <x:c r="D32" s="17" t="str">
        <x:v>Adhesive force of a single gecko foot-hair</x:v>
      </x:c>
      <x:c r="E32" s="17" t="str">
        <x:v>Nature</x:v>
      </x:c>
      <x:c r="F32" s="17" t="str">
        <x:v>Gecko seta</x:v>
      </x:c>
      <x:c r="G32" s="17" t="str">
        <x:v>Explain strong reversible dry adhesion at single-hair scale</x:v>
      </x:c>
      <x:c r="H32" s="17" t="str">
        <x:v>Single seta force depends on preload, shear and orientation; many setae sum to high force</x:v>
      </x:c>
      <x:c r="I32" s="17" t="str">
        <x:v>Use directional subcontacts and controlled loading to create reversible force</x:v>
      </x:c>
      <x:c r="J32" s="17" t="str">
        <x:v>NA03 Make adhesion directional / anisotropic</x:v>
      </x:c>
      <x:c r="K32" s="17" t="str">
        <x:v>NA01 Split contact into many small contacts</x:v>
      </x:c>
      <x:c r="L32" s="17" t="str">
        <x:v>Dry fibrillar adhesion</x:v>
      </x:c>
      <x:c r="M32" s="17" t="str">
        <x:v>Preload + shear</x:v>
      </x:c>
      <x:c r="N32" s="17" t="str">
        <x:v>Highly repeatable</x:v>
      </x:c>
      <x:c r="O32" s="17" t="str">
        <x:v>Gecko-inspired microfibrillar systems</x:v>
      </x:c>
      <x:c r="P32" s="17" t="str">
        <x:v>Climbing; gripping</x:v>
      </x:c>
      <x:c r="Q32" s="17" t="str">
        <x:v>Seminal / very widely cited</x:v>
      </x:c>
      <x:c r="R32" s="31" t="str">
        <x:v>https://doi.org/10.1038/35015073</x:v>
      </x:c>
      <x:c r="S32" s="17" t="str">
        <x:v>Foundational single-seta study.</x:v>
      </x:c>
      <x:c r="T32" s="32" t="str">
        <x:v>N/A — biological mechanism</x:v>
      </x:c>
      <x:c r="U32" s="33" t="str">
        <x:v>Primary biological/mechanistic study rather than a product implementation.</x:v>
      </x:c>
      <x:c r="V32" s="33" t="str">
        <x:v>Translation depends on the engineering analogue.</x:v>
      </x:c>
      <x:c r="W32" s="34" t="str">
        <x:v>Adaptation</x:v>
      </x:c>
      <x:c r="X32" s="34" t="str">
        <x:v>Directional response; controlled release</x:v>
      </x:c>
      <x:c r="Y32" s="34" t="str">
        <x:v>Locality</x:v>
      </x:c>
    </x:row>
    <x:row r="33" ht="29">
      <x:c r="A33" s="30" t="str">
        <x:v>F02</x:v>
      </x:c>
      <x:c r="B33" s="30" t="str">
        <x:v>Foundational</x:v>
      </x:c>
      <x:c r="C33" s="30" t="n">
        <x:v>2002</x:v>
      </x:c>
      <x:c r="D33" s="17" t="str">
        <x:v>Evidence for van der Waals adhesion in gecko setae</x:v>
      </x:c>
      <x:c r="E33" s="17" t="str">
        <x:v>PNAS</x:v>
      </x:c>
      <x:c r="F33" s="17" t="str">
        <x:v>Gecko setae</x:v>
      </x:c>
      <x:c r="G33" s="17" t="str">
        <x:v>Identify dominant physical mechanism of dry adhesion</x:v>
      </x:c>
      <x:c r="H33" s="17" t="str">
        <x:v>Close contact across spatulae produces cumulative van der Waals attraction</x:v>
      </x:c>
      <x:c r="I33" s="17" t="str">
        <x:v>Maximize nanometre-scale real contact area rather than using glue</x:v>
      </x:c>
      <x:c r="J33" s="17" t="str">
        <x:v>NA01 Split contact into many small contacts</x:v>
      </x:c>
      <x:c r="K33" s="17" t="str">
        <x:v>NA02 Build hierarchy across scales</x:v>
      </x:c>
      <x:c r="L33" s="17" t="str">
        <x:v>Dry molecular/contact adhesion</x:v>
      </x:c>
      <x:c r="M33" s="17" t="str">
        <x:v>Contact</x:v>
      </x:c>
      <x:c r="N33" s="17" t="str">
        <x:v>Highly repeatable</x:v>
      </x:c>
      <x:c r="O33" s="17" t="str">
        <x:v>Dry structured adhesive</x:v>
      </x:c>
      <x:c r="P33" s="17" t="str">
        <x:v>Reusable attachment</x:v>
      </x:c>
      <x:c r="Q33" s="17" t="str">
        <x:v>Seminal / very widely cited</x:v>
      </x:c>
      <x:c r="R33" s="31" t="str">
        <x:v>https://doi.org/10.1073/pnas.192252799</x:v>
      </x:c>
      <x:c r="S33" s="17" t="str">
        <x:v>Fundamental mechanism paper.</x:v>
      </x:c>
      <x:c r="T33" s="32" t="str">
        <x:v>N/A — biological mechanism</x:v>
      </x:c>
      <x:c r="U33" s="33" t="str">
        <x:v>Primary biological/mechanistic study rather than a product implementation.</x:v>
      </x:c>
      <x:c r="V33" s="33" t="str">
        <x:v>Translation depends on the engineering analogue.</x:v>
      </x:c>
      <x:c r="W33" s="34" t="str">
        <x:v>Strength</x:v>
      </x:c>
      <x:c r="X33" s="34" t="str">
        <x:v>Contact multiplication; distributed load sharing</x:v>
      </x:c>
      <x:c r="Y33" s="34" t="str">
        <x:v>Multi-scale</x:v>
      </x:c>
    </x:row>
    <x:row r="34" ht="29">
      <x:c r="A34" s="30" t="str">
        <x:v>F03</x:v>
      </x:c>
      <x:c r="B34" s="30" t="str">
        <x:v>Foundational</x:v>
      </x:c>
      <x:c r="C34" s="30" t="n">
        <x:v>2003</x:v>
      </x:c>
      <x:c r="D34" s="17" t="str">
        <x:v>Microfabricated adhesive mimicking gecko foot-hair</x:v>
      </x:c>
      <x:c r="E34" s="17" t="str">
        <x:v>Nature Materials</x:v>
      </x:c>
      <x:c r="F34" s="17" t="str">
        <x:v>Gecko foot hairs</x:v>
      </x:c>
      <x:c r="G34" s="17" t="str">
        <x:v>Translate gecko architecture into synthetic adhesive</x:v>
      </x:c>
      <x:c r="H34" s="17" t="str">
        <x:v>Microfabricated polymer hairs reproduce enhanced dry adhesion</x:v>
      </x:c>
      <x:c r="I34" s="17" t="str">
        <x:v>Artificial microfibrils can convert contact mechanics into reusable adhesion</x:v>
      </x:c>
      <x:c r="J34" s="17" t="str">
        <x:v>NA01 Split contact into many small contacts</x:v>
      </x:c>
      <x:c r="K34" s="17" t="str">
        <x:v>NA02 Build hierarchy across scales</x:v>
      </x:c>
      <x:c r="L34" s="17" t="str">
        <x:v>Dry biomimetic adhesion</x:v>
      </x:c>
      <x:c r="M34" s="17" t="str">
        <x:v>Preload</x:v>
      </x:c>
      <x:c r="N34" s="17" t="str">
        <x:v>Repeatable</x:v>
      </x:c>
      <x:c r="O34" s="17" t="str">
        <x:v>Microfabricated fibrillar adhesive</x:v>
      </x:c>
      <x:c r="P34" s="17" t="str">
        <x:v>Robotics; microhandling</x:v>
      </x:c>
      <x:c r="Q34" s="17" t="str">
        <x:v>Seminal / very widely cited</x:v>
      </x:c>
      <x:c r="R34" s="31" t="str">
        <x:v>https://doi.org/10.1038/nmat917</x:v>
      </x:c>
      <x:c r="S34" s="17" t="str">
        <x:v>Landmark synthetic translation.</x:v>
      </x:c>
      <x:c r="T34" s="32" t="str">
        <x:v>Lab-scale</x:v>
      </x:c>
      <x:c r="U34" s="33" t="str">
        <x:v>Peer-reviewed laboratory demonstration unless otherwise stated.</x:v>
      </x:c>
      <x:c r="V34" s="33" t="str">
        <x:v>Microfeature contamination, collapse and rough-surface conformity.</x:v>
      </x:c>
      <x:c r="W34" s="34" t="str">
        <x:v>Strength</x:v>
      </x:c>
      <x:c r="X34" s="34" t="str">
        <x:v>Contact multiplication; distributed load sharing</x:v>
      </x:c>
      <x:c r="Y34" s="34" t="str">
        <x:v>Multi-scale</x:v>
      </x:c>
    </x:row>
    <x:row r="35" ht="29">
      <x:c r="A35" s="30" t="str">
        <x:v>F04</x:v>
      </x:c>
      <x:c r="B35" s="30" t="str">
        <x:v>Foundational</x:v>
      </x:c>
      <x:c r="C35" s="30" t="n">
        <x:v>2006</x:v>
      </x:c>
      <x:c r="D35" s="17" t="str">
        <x:v>Single-molecule mechanics of mussel adhesion</x:v>
      </x:c>
      <x:c r="E35" s="17" t="str">
        <x:v>PNAS</x:v>
      </x:c>
      <x:c r="F35" s="17" t="str">
        <x:v>Mussel DOPA chemistry</x:v>
      </x:c>
      <x:c r="G35" s="17" t="str">
        <x:v>Explain wet molecular adhesion at single-molecule scale</x:v>
      </x:c>
      <x:c r="H35" s="17" t="str">
        <x:v>DOPA/catechol interactions provide strong reversible surface binding</x:v>
      </x:c>
      <x:c r="I35" s="17" t="str">
        <x:v>Build wet adhesives from multidentate surface interactions</x:v>
      </x:c>
      <x:c r="J35" s="17" t="str">
        <x:v>NA06 Use reversible molecular surface anchoring</x:v>
      </x:c>
      <x:c r="K35" s="17" t="str">
        <x:v>NA08 Phase-separate and deliver adhesive without dilution</x:v>
      </x:c>
      <x:c r="L35" s="17" t="str">
        <x:v>Molecular wet adhesion</x:v>
      </x:c>
      <x:c r="M35" s="17" t="str">
        <x:v>Contact</x:v>
      </x:c>
      <x:c r="N35" s="17" t="str">
        <x:v>Reversible at molecular scale</x:v>
      </x:c>
      <x:c r="O35" s="17" t="str">
        <x:v>Mussel-inspired chemistry</x:v>
      </x:c>
      <x:c r="P35" s="17" t="str">
        <x:v>Underwater/tissue adhesives</x:v>
      </x:c>
      <x:c r="Q35" s="17" t="str">
        <x:v>Seminal / widely cited</x:v>
      </x:c>
      <x:c r="R35" s="31" t="str">
        <x:v>https://doi.org/10.1073/pnas.0605552103</x:v>
      </x:c>
      <x:c r="S35" s="17" t="str">
        <x:v>Mechanistic foundation.</x:v>
      </x:c>
      <x:c r="T35" s="32" t="str">
        <x:v>N/A — biological mechanism</x:v>
      </x:c>
      <x:c r="U35" s="33" t="str">
        <x:v>Primary biological/mechanistic study rather than a product implementation.</x:v>
      </x:c>
      <x:c r="V35" s="33" t="str">
        <x:v>Translation depends on the engineering analogue.</x:v>
      </x:c>
      <x:c r="W35" s="34" t="str">
        <x:v>Attachment / positioning</x:v>
      </x:c>
      <x:c r="X35" s="34" t="str">
        <x:v>Interfacial bonding; reversible chemistry</x:v>
      </x:c>
      <x:c r="Y35" s="34" t="str">
        <x:v>Locality</x:v>
      </x:c>
    </x:row>
    <x:row r="36" ht="43.5">
      <x:c r="A36" s="30" t="str">
        <x:v>F05</x:v>
      </x:c>
      <x:c r="B36" s="30" t="str">
        <x:v>Foundational</x:v>
      </x:c>
      <x:c r="C36" s="30" t="n">
        <x:v>2007</x:v>
      </x:c>
      <x:c r="D36" s="17" t="str">
        <x:v>Biologically inspired crack trapping for enhanced adhesion</x:v>
      </x:c>
      <x:c r="E36" s="17" t="str">
        <x:v>PNAS</x:v>
      </x:c>
      <x:c r="F36" s="17" t="str">
        <x:v>Fibrillar biological attachment</x:v>
      </x:c>
      <x:c r="G36" s="17" t="str">
        <x:v>Improve interfacial toughness without only strengthening bonds</x:v>
      </x:c>
      <x:c r="H36" s="17" t="str">
        <x:v>Structured interface repeatedly traps/arrests detachment cracks</x:v>
      </x:c>
      <x:c r="I36" s="17" t="str">
        <x:v>Control crack path and stress distribution to increase adhesion energy</x:v>
      </x:c>
      <x:c r="J36" s="17" t="str">
        <x:v>NA05 Trap and arrest detachment cracks</x:v>
      </x:c>
      <x:c r="K36" s="17" t="str">
        <x:v>NA01 Split contact into many small contacts</x:v>
      </x:c>
      <x:c r="L36" s="17" t="str">
        <x:v>Fault-tolerant adhesion</x:v>
      </x:c>
      <x:c r="M36" s="17" t="str">
        <x:v>Interfacial load</x:v>
      </x:c>
      <x:c r="N36" s="17" t="str">
        <x:v>Repeatable</x:v>
      </x:c>
      <x:c r="O36" s="17" t="str">
        <x:v>Film/fibril patterned interface</x:v>
      </x:c>
      <x:c r="P36" s="17" t="str">
        <x:v>Reusable high-toughness pads</x:v>
      </x:c>
      <x:c r="Q36" s="17" t="str">
        <x:v>Foundational / widely cited</x:v>
      </x:c>
      <x:c r="R36" s="31" t="str">
        <x:v>https://doi.org/10.1073/pnas.0703762104</x:v>
      </x:c>
      <x:c r="S36" s="17" t="str">
        <x:v>Key failure-propagation paper.</x:v>
      </x:c>
      <x:c r="T36" s="32" t="str">
        <x:v>Lab-scale</x:v>
      </x:c>
      <x:c r="U36" s="32" t="str">
        <x:v>Peer-reviewed laboratory demonstration unless otherwise stated.</x:v>
      </x:c>
      <x:c r="V36" s="32" t="str">
        <x:v>Manufacturing crack-control geometry without raising release energy too far.</x:v>
      </x:c>
      <x:c r="W36" s="34" t="str">
        <x:v>Strength</x:v>
      </x:c>
      <x:c r="X36" s="34" t="str">
        <x:v>Crack trapping; fault tolerance</x:v>
      </x:c>
      <x:c r="Y36" s="34" t="str">
        <x:v>Multi-scale</x:v>
      </x:c>
    </x:row>
    <x:row r="37" ht="43.5">
      <x:c r="A37" s="30" t="str">
        <x:v>F06</x:v>
      </x:c>
      <x:c r="B37" s="30" t="str">
        <x:v>Foundational</x:v>
      </x:c>
      <x:c r="C37" s="30" t="n">
        <x:v>2007</x:v>
      </x:c>
      <x:c r="D37" s="17" t="str">
        <x:v>Mussel-inspired surface chemistry for multifunctional coatings</x:v>
      </x:c>
      <x:c r="E37" s="17" t="str">
        <x:v>Science</x:v>
      </x:c>
      <x:c r="F37" s="17" t="str">
        <x:v>Mussel adhesive proteins</x:v>
      </x:c>
      <x:c r="G37" s="17" t="str">
        <x:v>Create universal adhesive coating chemistry</x:v>
      </x:c>
      <x:c r="H37" s="17" t="str">
        <x:v>Polydopamine deposits on diverse materials and enables secondary functionalization</x:v>
      </x:c>
      <x:c r="I37" s="17" t="str">
        <x:v>Use a broadly adherent molecular primer to functionalize many substrates</x:v>
      </x:c>
      <x:c r="J37" s="17" t="str">
        <x:v>NA06 Use reversible molecular surface anchoring</x:v>
      </x:c>
      <x:c r="K37" s="17" t="str">
        <x:v>NA07 Combine structural + chemical adhesion</x:v>
      </x:c>
      <x:c r="L37" s="17" t="str">
        <x:v>Universal surface adhesion</x:v>
      </x:c>
      <x:c r="M37" s="17" t="str">
        <x:v>Oxidative deposition</x:v>
      </x:c>
      <x:c r="N37" s="17" t="str">
        <x:v>Repeatable coating process</x:v>
      </x:c>
      <x:c r="O37" s="17" t="str">
        <x:v>Polydopamine coating</x:v>
      </x:c>
      <x:c r="P37" s="17" t="str">
        <x:v>Coatings; biomedical; materials functionalization</x:v>
      </x:c>
      <x:c r="Q37" s="17" t="str">
        <x:v>Seminal / extremely widely cited</x:v>
      </x:c>
      <x:c r="R37" s="31" t="str">
        <x:v>https://doi.org/10.1126/science.1147241</x:v>
      </x:c>
      <x:c r="S37" s="17" t="str">
        <x:v>One of the field's landmark papers.</x:v>
      </x:c>
      <x:c r="T37" s="32" t="str">
        <x:v>Lab-scale</x:v>
      </x:c>
      <x:c r="U37" s="33" t="str">
        <x:v>Peer-reviewed laboratory demonstration unless otherwise stated.</x:v>
      </x:c>
      <x:c r="V37" s="33" t="str">
        <x:v>Surface-specific chemistry, oxidation/cure control and long-term wet stability.</x:v>
      </x:c>
      <x:c r="W37" s="34" t="str">
        <x:v>Attachment / positioning</x:v>
      </x:c>
      <x:c r="X37" s="34" t="str">
        <x:v>Interfacial bonding; reversible chemistry</x:v>
      </x:c>
      <x:c r="Y37" s="34" t="str">
        <x:v>Locality</x:v>
      </x:c>
    </x:row>
    <x:row r="38" ht="43.5">
      <x:c r="A38" s="30" t="str">
        <x:v>F07</x:v>
      </x:c>
      <x:c r="B38" s="30" t="str">
        <x:v>Foundational</x:v>
      </x:c>
      <x:c r="C38" s="30" t="n">
        <x:v>2007</x:v>
      </x:c>
      <x:c r="D38" s="17" t="str">
        <x:v>A reversible wet/dry adhesive inspired by mussels and geckos</x:v>
      </x:c>
      <x:c r="E38" s="17" t="str">
        <x:v>Nature</x:v>
      </x:c>
      <x:c r="F38" s="17" t="str">
        <x:v>Mussel + gecko</x:v>
      </x:c>
      <x:c r="G38" s="17" t="str">
        <x:v>Preserve reversible adhesion in both dry and wet conditions</x:v>
      </x:c>
      <x:c r="H38" s="17" t="str">
        <x:v>Gecko-like nanopillars coated with mussel-mimetic polymer</x:v>
      </x:c>
      <x:c r="I38" s="17" t="str">
        <x:v>Combine geometry for contact with chemistry for wet interfacial bonding</x:v>
      </x:c>
      <x:c r="J38" s="17" t="str">
        <x:v>NA07 Combine structural + chemical adhesion</x:v>
      </x:c>
      <x:c r="K38" s="17" t="str">
        <x:v>NA06 Use reversible molecular surface anchoring</x:v>
      </x:c>
      <x:c r="L38" s="17" t="str">
        <x:v>Hybrid wet/dry adhesion</x:v>
      </x:c>
      <x:c r="M38" s="17" t="str">
        <x:v>Contact</x:v>
      </x:c>
      <x:c r="N38" s="17" t="str">
        <x:v>High cycle capability</x:v>
      </x:c>
      <x:c r="O38" s="17" t="str">
        <x:v>Geckel hybrid adhesive</x:v>
      </x:c>
      <x:c r="P38" s="17" t="str">
        <x:v>Robotic attachment</x:v>
      </x:c>
      <x:c r="Q38" s="17" t="str">
        <x:v>Seminal / very widely cited</x:v>
      </x:c>
      <x:c r="R38" s="31" t="str">
        <x:v>https://doi.org/10.1038/nature05968</x:v>
      </x:c>
      <x:c r="S38" s="17" t="str">
        <x:v>Classic hybrid bioinspiration.</x:v>
      </x:c>
      <x:c r="T38" s="32" t="str">
        <x:v>Lab-scale</x:v>
      </x:c>
      <x:c r="U38" s="33" t="str">
        <x:v>Peer-reviewed laboratory demonstration unless otherwise stated.</x:v>
      </x:c>
      <x:c r="V38" s="33" t="str">
        <x:v>Integrating mechanisms without one blocking the other; manufacturing complexity.</x:v>
      </x:c>
      <x:c r="W38" s="34" t="str">
        <x:v>Attachment / positioning</x:v>
      </x:c>
      <x:c r="X38" s="34" t="str">
        <x:v>Hybrid multi-mechanism interface</x:v>
      </x:c>
      <x:c r="Y38" s="34" t="str">
        <x:v>Multi-scale</x:v>
      </x:c>
    </x:row>
    <x:row r="39" ht="43.5">
      <x:c r="A39" s="30" t="str">
        <x:v>F08</x:v>
      </x:c>
      <x:c r="B39" s="30" t="str">
        <x:v>Foundational</x:v>
      </x:c>
      <x:c r="C39" s="30" t="n">
        <x:v>2007</x:v>
      </x:c>
      <x:c r="D39" s="17" t="str">
        <x:v>Carbon nanotube-based synthetic gecko tapes</x:v>
      </x:c>
      <x:c r="E39" s="17" t="str">
        <x:v>PNAS</x:v>
      </x:c>
      <x:c r="F39" s="17" t="str">
        <x:v>Gecko hierarchy</x:v>
      </x:c>
      <x:c r="G39" s="17" t="str">
        <x:v>Increase synthetic dry adhesion using nanoscale hierarchy</x:v>
      </x:c>
      <x:c r="H39" s="17" t="str">
        <x:v>Patterned CNT forests mimic setae and spatulae; high shear force and self-cleaning</x:v>
      </x:c>
      <x:c r="I39" s="17" t="str">
        <x:v>Create hierarchical high-area contact with non-tacky nanostructures</x:v>
      </x:c>
      <x:c r="J39" s="17" t="str">
        <x:v>NA02 Build hierarchy across scales</x:v>
      </x:c>
      <x:c r="K39" s="17" t="str">
        <x:v>NA01 Split contact into many small contacts</x:v>
      </x:c>
      <x:c r="L39" s="17" t="str">
        <x:v>CNT dry adhesion</x:v>
      </x:c>
      <x:c r="M39" s="17" t="str">
        <x:v>Preload/shear</x:v>
      </x:c>
      <x:c r="N39" s="17" t="str">
        <x:v>Repeatable</x:v>
      </x:c>
      <x:c r="O39" s="17" t="str">
        <x:v>CNT gecko tape</x:v>
      </x:c>
      <x:c r="P39" s="17" t="str">
        <x:v>Robotics; microelectronics; space</x:v>
      </x:c>
      <x:c r="Q39" s="17" t="str">
        <x:v>Foundational / widely cited</x:v>
      </x:c>
      <x:c r="R39" s="31" t="str">
        <x:v>https://doi.org/10.1073/pnas.0703505104</x:v>
      </x:c>
      <x:c r="S39" s="17" t="str">
        <x:v>Attached CNT document reinforces hierarchy/self-cleaning.</x:v>
      </x:c>
      <x:c r="T39" s="32" t="str">
        <x:v>Lab-scale</x:v>
      </x:c>
      <x:c r="U39" s="33" t="str">
        <x:v>Peer-reviewed laboratory demonstration unless otherwise stated.</x:v>
      </x:c>
      <x:c r="V39" s="33" t="str">
        <x:v>Multi-scale fabrication yield, feature entanglement and durability.</x:v>
      </x:c>
      <x:c r="W39" s="34" t="str">
        <x:v>Strength</x:v>
      </x:c>
      <x:c r="X39" s="34" t="str">
        <x:v>Hierarchy; multi-scale load distribution</x:v>
      </x:c>
      <x:c r="Y39" s="34" t="str">
        <x:v>Multi-scale</x:v>
      </x:c>
    </x:row>
    <x:row r="40" ht="58">
      <x:c r="A40" s="30" t="str">
        <x:v>F09</x:v>
      </x:c>
      <x:c r="B40" s="30" t="str">
        <x:v>Foundational</x:v>
      </x:c>
      <x:c r="C40" s="30" t="n">
        <x:v>2008</x:v>
      </x:c>
      <x:c r="D40" s="17" t="str">
        <x:v>A biodegradable and biocompatible gecko-inspired tissue adhesive</x:v>
      </x:c>
      <x:c r="E40" s="17" t="str">
        <x:v>PNAS</x:v>
      </x:c>
      <x:c r="F40" s="17" t="str">
        <x:v>Gecko + tissue-reactive chemistry</x:v>
      </x:c>
      <x:c r="G40" s="17" t="str">
        <x:v>Translate gecko contact into biodegradable medical adhesive</x:v>
      </x:c>
      <x:c r="H40" s="17" t="str">
        <x:v>Nanotopography improves contact while chemistry bonds to tissue</x:v>
      </x:c>
      <x:c r="I40" s="17" t="str">
        <x:v>Combine reversible topography with bio-compatible chemistry</x:v>
      </x:c>
      <x:c r="J40" s="17" t="str">
        <x:v>NA07 Combine structural + chemical adhesion</x:v>
      </x:c>
      <x:c r="K40" s="17" t="str">
        <x:v>NA04 Control system compliance and load path</x:v>
      </x:c>
      <x:c r="L40" s="17" t="str">
        <x:v>Tissue adhesion</x:v>
      </x:c>
      <x:c r="M40" s="17" t="str">
        <x:v>Wet tissue contact</x:v>
      </x:c>
      <x:c r="N40" s="17" t="str">
        <x:v>Finite</x:v>
      </x:c>
      <x:c r="O40" s="17" t="str">
        <x:v>Biodegradable gecko-inspired patch</x:v>
      </x:c>
      <x:c r="P40" s="17" t="str">
        <x:v>Surgery/tissue repair</x:v>
      </x:c>
      <x:c r="Q40" s="17" t="str">
        <x:v>Groundbreaking biomedical application</x:v>
      </x:c>
      <x:c r="R40" s="31" t="str">
        <x:v>https://doi.org/10.1073/pnas.0712117105</x:v>
      </x:c>
      <x:c r="S40" s="17" t="str">
        <x:v>Early gecko-to-medicine translation.</x:v>
      </x:c>
      <x:c r="T40" s="32" t="str">
        <x:v>Lab-scale</x:v>
      </x:c>
      <x:c r="U40" s="33" t="str">
        <x:v>Peer-reviewed laboratory demonstration unless otherwise stated.</x:v>
      </x:c>
      <x:c r="V40" s="33" t="str">
        <x:v>Integrating mechanisms without one blocking the other; manufacturing complexity.</x:v>
      </x:c>
      <x:c r="W40" s="34" t="str">
        <x:v>Attachment / positioning</x:v>
      </x:c>
      <x:c r="X40" s="34" t="str">
        <x:v>Hybrid multi-mechanism interface</x:v>
      </x:c>
      <x:c r="Y40" s="34" t="str">
        <x:v>Multi-scale</x:v>
      </x:c>
    </x:row>
    <x:row r="41" ht="43.5">
      <x:c r="A41" s="30" t="str">
        <x:v>F10</x:v>
      </x:c>
      <x:c r="B41" s="30" t="str">
        <x:v>Foundational</x:v>
      </x:c>
      <x:c r="C41" s="30" t="n">
        <x:v>2009</x:v>
      </x:c>
      <x:c r="D41" s="17" t="str">
        <x:v>Gecko-Inspired Directional and Controllable Adhesion</x:v>
      </x:c>
      <x:c r="E41" s="17" t="str">
        <x:v>Small</x:v>
      </x:c>
      <x:c r="F41" s="17" t="str">
        <x:v>Gecko directional setae</x:v>
      </x:c>
      <x:c r="G41" s="17" t="str">
        <x:v>Achieve strong attachment and easy directional release</x:v>
      </x:c>
      <x:c r="H41" s="17" t="str">
        <x:v>Angled mushroom fibrils create anisotropic shear/peel behavior</x:v>
      </x:c>
      <x:c r="I41" s="17" t="str">
        <x:v>Design geometry so load direction switches interface on/off</x:v>
      </x:c>
      <x:c r="J41" s="17" t="str">
        <x:v>NA03 Make adhesion directional / anisotropic</x:v>
      </x:c>
      <x:c r="K41" s="17" t="str">
        <x:v>NA01 Split contact into many small contacts</x:v>
      </x:c>
      <x:c r="L41" s="17" t="str">
        <x:v>Directional dry adhesion</x:v>
      </x:c>
      <x:c r="M41" s="17" t="str">
        <x:v>Shear/peel angle</x:v>
      </x:c>
      <x:c r="N41" s="17" t="str">
        <x:v>Repeatable</x:v>
      </x:c>
      <x:c r="O41" s="17" t="str">
        <x:v>Angled mushroom fibrils</x:v>
      </x:c>
      <x:c r="P41" s="17" t="str">
        <x:v>Climbing; handling</x:v>
      </x:c>
      <x:c r="Q41" s="17" t="str">
        <x:v>Foundational / widely cited</x:v>
      </x:c>
      <x:c r="R41" s="31" t="str">
        <x:v>https://doi.org/10.1002/smll.200801161</x:v>
      </x:c>
      <x:c r="S41" s="17" t="str">
        <x:v>Core NA03 evidence.</x:v>
      </x:c>
      <x:c r="T41" s="32" t="str">
        <x:v>Lab-scale</x:v>
      </x:c>
      <x:c r="U41" s="33" t="str">
        <x:v>Peer-reviewed laboratory demonstration unless otherwise stated.</x:v>
      </x:c>
      <x:c r="V41" s="33" t="str">
        <x:v>Reliable alignment/control across changing load directions.</x:v>
      </x:c>
      <x:c r="W41" s="34" t="str">
        <x:v>Adaptation</x:v>
      </x:c>
      <x:c r="X41" s="34" t="str">
        <x:v>Directional response; controlled release</x:v>
      </x:c>
      <x:c r="Y41" s="34" t="str">
        <x:v>Locality</x:v>
      </x:c>
    </x:row>
    <x:row r="42" ht="43.5">
      <x:c r="A42" s="30" t="str">
        <x:v>F11</x:v>
      </x:c>
      <x:c r="B42" s="30" t="str">
        <x:v>Foundational</x:v>
      </x:c>
      <x:c r="C42" s="30" t="n">
        <x:v>2012</x:v>
      </x:c>
      <x:c r="D42" s="17" t="str">
        <x:v>Looking Beyond Fibrillar Features to Scale Gecko-Like Adhesion</x:v>
      </x:c>
      <x:c r="E42" s="17" t="str">
        <x:v>Advanced Materials</x:v>
      </x:c>
      <x:c r="F42" s="17" t="str">
        <x:v>Gecko toe pad + load path</x:v>
      </x:c>
      <x:c r="G42" s="17" t="str">
        <x:v>Scale reversible adhesion to large loads/areas</x:v>
      </x:c>
      <x:c r="H42" s="17" t="str">
        <x:v>Adhesive force scales with contact area and inverse compliance; fabric-elastomer pad reaches high loads</x:v>
      </x:c>
      <x:c r="I42" s="17" t="str">
        <x:v>Optimize whole-system compliance instead of copying only microhairs</x:v>
      </x:c>
      <x:c r="J42" s="17" t="str">
        <x:v>NA04 Control system compliance and load path</x:v>
      </x:c>
      <x:c r="K42" s="17" t="str">
        <x:v>NA13 Coordinate multiple adhesive units as a system</x:v>
      </x:c>
      <x:c r="L42" s="17" t="str">
        <x:v>Large-area reversible adhesion</x:v>
      </x:c>
      <x:c r="M42" s="17" t="str">
        <x:v>Contact + shear</x:v>
      </x:c>
      <x:c r="N42" s="17" t="str">
        <x:v>Repeatable</x:v>
      </x:c>
      <x:c r="O42" s="17" t="str">
        <x:v>Fabric-elastomer adhesive pad</x:v>
      </x:c>
      <x:c r="P42" s="17" t="str">
        <x:v>Weight-bearing attachment</x:v>
      </x:c>
      <x:c r="Q42" s="17" t="str">
        <x:v>Groundbreaking / widely cited</x:v>
      </x:c>
      <x:c r="R42" s="31" t="str">
        <x:v>https://doi.org/10.1002/adma.201104191</x:v>
      </x:c>
      <x:c r="S42" s="17" t="str">
        <x:v>Core compliance paper.</x:v>
      </x:c>
      <x:c r="T42" s="32" t="str">
        <x:v>Lab-scale</x:v>
      </x:c>
      <x:c r="U42" s="33" t="str">
        <x:v>Peer-reviewed laboratory demonstration unless otherwise stated.</x:v>
      </x:c>
      <x:c r="V42" s="33" t="str">
        <x:v>Balancing conformability against creep and load-path stiffness.</x:v>
      </x:c>
      <x:c r="W42" s="34" t="str">
        <x:v>Strength</x:v>
      </x:c>
      <x:c r="X42" s="34" t="str">
        <x:v>Gradient stiffness; load-path optimization</x:v>
      </x:c>
      <x:c r="Y42" s="34" t="str">
        <x:v>Gradient</x:v>
      </x:c>
    </x:row>
    <x:row r="43" ht="43.5">
      <x:c r="A43" s="30" t="str">
        <x:v>F12</x:v>
      </x:c>
      <x:c r="B43" s="30" t="str">
        <x:v>Foundational</x:v>
      </x:c>
      <x:c r="C43" s="30" t="n">
        <x:v>2012</x:v>
      </x:c>
      <x:c r="D43" s="17" t="str">
        <x:v>Underwater locomotion in a terrestrial beetle: combination of surface de-wetting and capillary forces</x:v>
      </x:c>
      <x:c r="E43" s="17" t="str">
        <x:v>Proceedings of the Royal Society B</x:v>
      </x:c>
      <x:c r="F43" s="17" t="str">
        <x:v>Leaf beetle</x:v>
      </x:c>
      <x:c r="G43" s="17" t="str">
        <x:v>Walk underwater using a terrestrial adhesive pad</x:v>
      </x:c>
      <x:c r="H43" s="17" t="str">
        <x:v>Hydrophobic hairy pad retains air bubble, dewets substrate and restores capillary attachment</x:v>
      </x:c>
      <x:c r="I43" s="17" t="str">
        <x:v>Remove water locally rather than bond through it</x:v>
      </x:c>
      <x:c r="J43" s="17" t="str">
        <x:v>NA09 Dewet the interface before attaching</x:v>
      </x:c>
      <x:c r="K43" s="17" t="str">
        <x:v>NA10 Generate wet friction through drainage and edge density</x:v>
      </x:c>
      <x:c r="L43" s="17" t="str">
        <x:v>Underwater physical adhesion</x:v>
      </x:c>
      <x:c r="M43" s="17" t="str">
        <x:v>Immersion/contact</x:v>
      </x:c>
      <x:c r="N43" s="17" t="str">
        <x:v>Repeatable</x:v>
      </x:c>
      <x:c r="O43" s="17" t="str">
        <x:v>Silicone bioinspired structure demonstrated</x:v>
      </x:c>
      <x:c r="P43" s="17" t="str">
        <x:v>Underwater attachment</x:v>
      </x:c>
      <x:c r="Q43" s="17" t="str">
        <x:v>Groundbreaking distinct mechanism</x:v>
      </x:c>
      <x:c r="R43" s="31" t="str">
        <x:v>https://doi.org/10.1098/rspb.2012.1297</x:v>
      </x:c>
      <x:c r="S43" s="17" t="str">
        <x:v>Key dewetting strategy.</x:v>
      </x:c>
      <x:c r="T43" s="32" t="str">
        <x:v>N/A — biological mechanism</x:v>
      </x:c>
      <x:c r="U43" s="33" t="str">
        <x:v>Primary biological/mechanistic study rather than a product implementation.</x:v>
      </x:c>
      <x:c r="V43" s="33" t="str">
        <x:v>Translation depends on the engineering analogue.</x:v>
      </x:c>
      <x:c r="W43" s="34" t="str">
        <x:v>Protective envelope</x:v>
      </x:c>
      <x:c r="X43" s="34" t="str">
        <x:v>Selective dewetting; interface preparation</x:v>
      </x:c>
      <x:c r="Y43" s="34" t="str">
        <x:v>Locality</x:v>
      </x:c>
    </x:row>
    <x:row r="44" ht="43.5">
      <x:c r="A44" s="30" t="str">
        <x:v>F13</x:v>
      </x:c>
      <x:c r="B44" s="30" t="str">
        <x:v>Foundational</x:v>
      </x:c>
      <x:c r="C44" s="30" t="n">
        <x:v>2012</x:v>
      </x:c>
      <x:c r="D44" s="17" t="str">
        <x:v>Microstructured barbs on the North American porcupine quill enable easy tissue penetration and difficult removal</x:v>
      </x:c>
      <x:c r="E44" s="17" t="str">
        <x:v>PNAS</x:v>
      </x:c>
      <x:c r="F44" s="17" t="str">
        <x:v>Porcupine quill</x:v>
      </x:c>
      <x:c r="G44" s="17" t="str">
        <x:v>Low-force entry but high-force retention in tissue</x:v>
      </x:c>
      <x:c r="H44" s="17" t="str">
        <x:v>Backward-facing microbarbs reduce penetration resistance and increase removal force</x:v>
      </x:c>
      <x:c r="I44" s="17" t="str">
        <x:v>Create asymmetric mechanical paths for insertion vs withdrawal</x:v>
      </x:c>
      <x:c r="J44" s="17" t="str">
        <x:v>NA11 Mechanically interlock after penetration</x:v>
      </x:c>
      <x:c r="K44" s="17" t="str">
        <x:v>NA03 Make adhesion directional / anisotropic</x:v>
      </x:c>
      <x:c r="L44" s="17" t="str">
        <x:v>Mechanical interlocking</x:v>
      </x:c>
      <x:c r="M44" s="17" t="str">
        <x:v>Insertion</x:v>
      </x:c>
      <x:c r="N44" s="17" t="str">
        <x:v>Usually finite</x:v>
      </x:c>
      <x:c r="O44" s="17" t="str">
        <x:v>Synthetic barbed quills</x:v>
      </x:c>
      <x:c r="P44" s="17" t="str">
        <x:v>Medical fixation/needles</x:v>
      </x:c>
      <x:c r="Q44" s="17" t="str">
        <x:v>Groundbreaking / widely cited</x:v>
      </x:c>
      <x:c r="R44" s="31" t="str">
        <x:v>https://doi.org/10.1073/pnas.1216441109</x:v>
      </x:c>
      <x:c r="S44" s="17" t="str">
        <x:v>Core mechanical interlock evidence.</x:v>
      </x:c>
      <x:c r="T44" s="32" t="str">
        <x:v>N/A — biological mechanism</x:v>
      </x:c>
      <x:c r="U44" s="33" t="str">
        <x:v>Primary biological/mechanistic study rather than a product implementation.</x:v>
      </x:c>
      <x:c r="V44" s="33" t="str">
        <x:v>Translation depends on the engineering analogue.</x:v>
      </x:c>
      <x:c r="W44" s="34" t="str">
        <x:v>Attachment / positioning</x:v>
      </x:c>
      <x:c r="X44" s="34" t="str">
        <x:v>Mechanical interlocking</x:v>
      </x:c>
      <x:c r="Y44" s="34" t="str">
        <x:v>Locality</x:v>
      </x:c>
    </x:row>
    <x:row r="45" ht="58">
      <x:c r="A45" s="30" t="str">
        <x:v>F14</x:v>
      </x:c>
      <x:c r="B45" s="30" t="str">
        <x:v>Foundational</x:v>
      </x:c>
      <x:c r="C45" s="30" t="n">
        <x:v>2013</x:v>
      </x:c>
      <x:c r="D45" s="17" t="str">
        <x:v>A bio-inspired swellable microneedle adhesive for mechanical interlocking with tissue</x:v>
      </x:c>
      <x:c r="E45" s="17" t="str">
        <x:v>Nature Communications</x:v>
      </x:c>
      <x:c r="F45" s="17" t="str">
        <x:v>Spiny-headed worm proboscis</x:v>
      </x:c>
      <x:c r="G45" s="17" t="str">
        <x:v>Secure a patch after minimally invasive insertion</x:v>
      </x:c>
      <x:c r="H45" s="17" t="str">
        <x:v>Microneedle tips swell after insertion to create interlocking</x:v>
      </x:c>
      <x:c r="I45" s="17" t="str">
        <x:v>Change geometry after placement to increase retention</x:v>
      </x:c>
      <x:c r="J45" s="17" t="str">
        <x:v>NA12 Change shape after attachment</x:v>
      </x:c>
      <x:c r="K45" s="17" t="str">
        <x:v>NA11 Mechanically interlock after penetration</x:v>
      </x:c>
      <x:c r="L45" s="17" t="str">
        <x:v>Shape-changing tissue attachment</x:v>
      </x:c>
      <x:c r="M45" s="17" t="str">
        <x:v>Water/tissue fluid</x:v>
      </x:c>
      <x:c r="N45" s="17" t="str">
        <x:v>Potentially repeatable only by design</x:v>
      </x:c>
      <x:c r="O45" s="17" t="str">
        <x:v>Swellable microneedle patch</x:v>
      </x:c>
      <x:c r="P45" s="17" t="str">
        <x:v>Skin graft fixation; drug delivery</x:v>
      </x:c>
      <x:c r="Q45" s="17" t="str">
        <x:v>Groundbreaking / widely cited</x:v>
      </x:c>
      <x:c r="R45" s="31" t="str">
        <x:v>https://doi.org/10.1038/ncomms2715</x:v>
      </x:c>
      <x:c r="S45" s="17" t="str">
        <x:v>Core post-attachment transformation paper.</x:v>
      </x:c>
      <x:c r="T45" s="32" t="str">
        <x:v>Lab-scale</x:v>
      </x:c>
      <x:c r="U45" s="33" t="str">
        <x:v>Peer-reviewed laboratory demonstration unless otherwise stated.</x:v>
      </x:c>
      <x:c r="V45" s="33" t="str">
        <x:v>Fast, reversible and spatially controlled shape change.</x:v>
      </x:c>
      <x:c r="W45" s="34" t="str">
        <x:v>Adaptation</x:v>
      </x:c>
      <x:c r="X45" s="34" t="str">
        <x:v>Post-placement shape transformation</x:v>
      </x:c>
      <x:c r="Y45" s="34" t="str">
        <x:v>Transformation</x:v>
      </x:c>
    </x:row>
    <x:row r="46" ht="43.5">
      <x:c r="A46" s="30" t="str">
        <x:v>F15</x:v>
      </x:c>
      <x:c r="B46" s="30" t="str">
        <x:v>Foundational</x:v>
      </x:c>
      <x:c r="C46" s="30" t="n">
        <x:v>2014</x:v>
      </x:c>
      <x:c r="D46" s="17" t="str">
        <x:v>The whole is more than the sum of all its parts: collective effect of spider attachment organs</x:v>
      </x:c>
      <x:c r="E46" s="17" t="str">
        <x:v>Journal of Experimental Biology</x:v>
      </x:c>
      <x:c r="F46" s="17" t="str">
        <x:v>Hunting spider legs / scopulae</x:v>
      </x:c>
      <x:c r="G46" s="17" t="str">
        <x:v>Explain system-level adhesion during locomotion</x:v>
      </x:c>
      <x:c r="H46" s="17" t="str">
        <x:v>Opposing legs generate antagonistic shear; total attachment exceeds independent pad sum</x:v>
      </x:c>
      <x:c r="I46" s="17" t="str">
        <x:v>Coordinate multiple contacts rather than optimizing one pad alone</x:v>
      </x:c>
      <x:c r="J46" s="17" t="str">
        <x:v>NA13 Coordinate multiple adhesive units as a system</x:v>
      </x:c>
      <x:c r="K46" s="17" t="str">
        <x:v>NA03 Make adhesion directional / anisotropic</x:v>
      </x:c>
      <x:c r="L46" s="17" t="str">
        <x:v>System-level dynamic attachment</x:v>
      </x:c>
      <x:c r="M46" s="17" t="str">
        <x:v>Muscle-generated shear</x:v>
      </x:c>
      <x:c r="N46" s="17" t="str">
        <x:v>Highly repeatable</x:v>
      </x:c>
      <x:c r="O46" s="17" t="str">
        <x:v>Multi-pad system principle</x:v>
      </x:c>
      <x:c r="P46" s="17" t="str">
        <x:v>Robotic grippers</x:v>
      </x:c>
      <x:c r="Q46" s="17" t="str">
        <x:v>Groundbreaking system-level insight</x:v>
      </x:c>
      <x:c r="R46" s="31" t="str">
        <x:v>https://doi.org/10.1242/jeb.093468</x:v>
      </x:c>
      <x:c r="S46" s="17" t="str">
        <x:v>Directly supported by attached paper.</x:v>
      </x:c>
      <x:c r="T46" s="32" t="str">
        <x:v>N/A — biological mechanism</x:v>
      </x:c>
      <x:c r="U46" s="33" t="str">
        <x:v>Primary biological/mechanistic study rather than a product implementation.</x:v>
      </x:c>
      <x:c r="V46" s="33" t="str">
        <x:v>Translation depends on the engineering analogue.</x:v>
      </x:c>
      <x:c r="W46" s="34" t="str">
        <x:v>Communication &amp; feedback</x:v>
      </x:c>
      <x:c r="X46" s="34" t="str">
        <x:v>Distributed coordination; load sharing</x:v>
      </x:c>
      <x:c r="Y46" s="34" t="str">
        <x:v>Network</x:v>
      </x:c>
    </x:row>
    <x:row r="47" ht="43.5">
      <x:c r="A47" s="30" t="str">
        <x:v>F16</x:v>
      </x:c>
      <x:c r="B47" s="30" t="str">
        <x:v>Foundational</x:v>
      </x:c>
      <x:c r="C47" s="30" t="n">
        <x:v>2015</x:v>
      </x:c>
      <x:c r="D47" s="17" t="str">
        <x:v>Torrent Frog-Inspired Adhesives: Attachment to Flooded Surfaces</x:v>
      </x:c>
      <x:c r="E47" s="17" t="str">
        <x:v>Advanced Functional Materials</x:v>
      </x:c>
      <x:c r="F47" s="17" t="str">
        <x:v>Torrent frog toe pad</x:v>
      </x:c>
      <x:c r="G47" s="17" t="str">
        <x:v>Attach on flooded surfaces under dynamic water</x:v>
      </x:c>
      <x:c r="H47" s="17" t="str">
        <x:v>Elongated compliant micropillars/drainage geometry increase wet friction/adhesion</x:v>
      </x:c>
      <x:c r="I47" s="17" t="str">
        <x:v>Control fluid pathways and edge density for flooded-surface grip</x:v>
      </x:c>
      <x:c r="J47" s="17" t="str">
        <x:v>NA10 Generate wet friction through drainage and edge density</x:v>
      </x:c>
      <x:c r="K47" s="17" t="str">
        <x:v>NA04 Control system compliance and load path</x:v>
      </x:c>
      <x:c r="L47" s="17" t="str">
        <x:v>Flooded-surface adhesion</x:v>
      </x:c>
      <x:c r="M47" s="17" t="str">
        <x:v>Wet contact</x:v>
      </x:c>
      <x:c r="N47" s="17" t="str">
        <x:v>Repeatable</x:v>
      </x:c>
      <x:c r="O47" s="17" t="str">
        <x:v>Frog-inspired patterned adhesive</x:v>
      </x:c>
      <x:c r="P47" s="17" t="str">
        <x:v>Wet gripping</x:v>
      </x:c>
      <x:c r="Q47" s="17" t="str">
        <x:v>Widely cited</x:v>
      </x:c>
      <x:c r="R47" s="31" t="str">
        <x:v>https://doi.org/10.1002/adfm.201403751</x:v>
      </x:c>
      <x:c r="S47" s="17" t="str">
        <x:v>Core wet-friction/drainage paper.</x:v>
      </x:c>
      <x:c r="T47" s="32" t="str">
        <x:v>Lab-scale</x:v>
      </x:c>
      <x:c r="U47" s="33" t="str">
        <x:v>Peer-reviewed laboratory demonstration unless otherwise stated.</x:v>
      </x:c>
      <x:c r="V47" s="33" t="str">
        <x:v>Seal/drainage robustness on rough surfaces and across fluid conditions.</x:v>
      </x:c>
      <x:c r="W47" s="34" t="str">
        <x:v>Resistance reduction</x:v>
      </x:c>
      <x:c r="X47" s="34" t="str">
        <x:v>Fluid drainage; wet friction; pressure control</x:v>
      </x:c>
      <x:c r="Y47" s="34" t="str">
        <x:v>Locality</x:v>
      </x:c>
    </x:row>
    <x:row r="48" ht="43.5">
      <x:c r="A48" s="30" t="str">
        <x:v>F17</x:v>
      </x:c>
      <x:c r="B48" s="30" t="str">
        <x:v>Foundational</x:v>
      </x:c>
      <x:c r="C48" s="30" t="n">
        <x:v>2015</x:v>
      </x:c>
      <x:c r="D48" s="17" t="str">
        <x:v>High-performance mussel-inspired adhesives of reduced complexity</x:v>
      </x:c>
      <x:c r="E48" s="17" t="str">
        <x:v>Nature Communications</x:v>
      </x:c>
      <x:c r="F48" s="17" t="str">
        <x:v>Mussel foot proteins</x:v>
      </x:c>
      <x:c r="G48" s="17" t="str">
        <x:v>Identify a minimal synthetic motif set for strong underwater adhesion</x:v>
      </x:c>
      <x:c r="H48" s="17" t="str">
        <x:v>Small molecules combine catechol, charge and hydrophobicity; coacervation aids delivery</x:v>
      </x:c>
      <x:c r="I48" s="17" t="str">
        <x:v>Reduce biological complexity while preserving key functional interactions</x:v>
      </x:c>
      <x:c r="J48" s="17" t="str">
        <x:v>NA08 Phase-separate and deliver adhesive without dilution</x:v>
      </x:c>
      <x:c r="K48" s="17" t="str">
        <x:v>NA06 Use reversible molecular surface anchoring</x:v>
      </x:c>
      <x:c r="L48" s="17" t="str">
        <x:v>Underwater molecular adhesive</x:v>
      </x:c>
      <x:c r="M48" s="17" t="str">
        <x:v>pH/ionic/contact</x:v>
      </x:c>
      <x:c r="N48" s="17" t="str">
        <x:v>Finite/replenishable</x:v>
      </x:c>
      <x:c r="O48" s="17" t="str">
        <x:v>Simplified zwitterionic mussel adhesive</x:v>
      </x:c>
      <x:c r="P48" s="17" t="str">
        <x:v>Underwater bonding</x:v>
      </x:c>
      <x:c r="Q48" s="17" t="str">
        <x:v>Widely cited</x:v>
      </x:c>
      <x:c r="R48" s="31" t="str">
        <x:v>https://doi.org/10.1038/ncomms9663</x:v>
      </x:c>
      <x:c r="S48" s="17" t="str">
        <x:v>Minimal-function strategy anchor.</x:v>
      </x:c>
      <x:c r="T48" s="32" t="str">
        <x:v>Lab-scale</x:v>
      </x:c>
      <x:c r="U48" s="33" t="str">
        <x:v>Peer-reviewed laboratory demonstration unless otherwise stated.</x:v>
      </x:c>
      <x:c r="V48" s="33" t="str">
        <x:v>Controlling phase window, viscosity, delivery and post-deposition cure.</x:v>
      </x:c>
      <x:c r="W48" s="34" t="str">
        <x:v>Transport &amp; delivery</x:v>
      </x:c>
      <x:c r="X48" s="34" t="str">
        <x:v>Phase separation; targeted delivery</x:v>
      </x:c>
      <x:c r="Y48" s="34" t="str">
        <x:v>Gradient</x:v>
      </x:c>
    </x:row>
    <x:row r="49" ht="43.5">
      <x:c r="A49" s="30" t="str">
        <x:v>F18</x:v>
      </x:c>
      <x:c r="B49" s="30" t="str">
        <x:v>Foundational</x:v>
      </x:c>
      <x:c r="C49" s="30" t="n">
        <x:v>2017</x:v>
      </x:c>
      <x:c r="D49" s="17" t="str">
        <x:v>Bio-inspired reversible underwater adhesive</x:v>
      </x:c>
      <x:c r="E49" s="17" t="str">
        <x:v>Nature Communications</x:v>
      </x:c>
      <x:c r="F49" s="17" t="str">
        <x:v>Mussel-inspired catechol + responsive host-guest chemistry</x:v>
      </x:c>
      <x:c r="G49" s="17" t="str">
        <x:v>Strong underwater adhesion with reversible switching</x:v>
      </x:c>
      <x:c r="H49" s="17" t="str">
        <x:v>Catechol bonds plus host–guest interactions in thermoresponsive network</x:v>
      </x:c>
      <x:c r="I49" s="17" t="str">
        <x:v>Add an orthogonal molecular switch to strong wet adhesion</x:v>
      </x:c>
      <x:c r="J49" s="17" t="str">
        <x:v>NA15 Switch material state to attach / release</x:v>
      </x:c>
      <x:c r="K49" s="17" t="str">
        <x:v>NA06 Use reversible molecular surface anchoring</x:v>
      </x:c>
      <x:c r="L49" s="17" t="str">
        <x:v>Switchable underwater adhesion</x:v>
      </x:c>
      <x:c r="M49" s="17" t="str">
        <x:v>Temperature / molecular state</x:v>
      </x:c>
      <x:c r="N49" s="17" t="str">
        <x:v>Repeatable</x:v>
      </x:c>
      <x:c r="O49" s="17" t="str">
        <x:v>Responsive polymer adhesive</x:v>
      </x:c>
      <x:c r="P49" s="17" t="str">
        <x:v>Underwater devices; biomedical</x:v>
      </x:c>
      <x:c r="Q49" s="17" t="str">
        <x:v>Widely cited</x:v>
      </x:c>
      <x:c r="R49" s="31" t="str">
        <x:v>https://doi.org/10.1038/s41467-017-02387-2</x:v>
      </x:c>
      <x:c r="S49" s="17" t="str">
        <x:v>Core wet switching paper.</x:v>
      </x:c>
      <x:c r="T49" s="32" t="str">
        <x:v>Lab-scale</x:v>
      </x:c>
      <x:c r="U49" s="33" t="str">
        <x:v>Peer-reviewed laboratory demonstration unless otherwise stated.</x:v>
      </x:c>
      <x:c r="V49" s="33" t="str">
        <x:v>Trigger speed, energy, hysteresis, false activation and reset reliability.</x:v>
      </x:c>
      <x:c r="W49" s="34" t="str">
        <x:v>Adaptation</x:v>
      </x:c>
      <x:c r="X49" s="34" t="str">
        <x:v>State switching; reversible locking</x:v>
      </x:c>
      <x:c r="Y49" s="34" t="str">
        <x:v>Cyclicity</x:v>
      </x:c>
    </x:row>
    <x:row r="50" ht="58">
      <x:c r="A50" s="30" t="str">
        <x:v>F19</x:v>
      </x:c>
      <x:c r="B50" s="30" t="str">
        <x:v>Foundational</x:v>
      </x:c>
      <x:c r="C50" s="30" t="n">
        <x:v>2019</x:v>
      </x:c>
      <x:c r="D50" s="17" t="str">
        <x:v>Humidity-tolerant rate-dependent capillary viscous adhesion of bee-collected pollen fluids</x:v>
      </x:c>
      <x:c r="E50" s="17" t="str">
        <x:v>Nature Communications</x:v>
      </x:c>
      <x:c r="F50" s="17" t="str">
        <x:v>Bee pollen adhesive / pollenkitt</x:v>
      </x:c>
      <x:c r="G50" s="17" t="str">
        <x:v>Maintain pollen attachment across humidity and motion</x:v>
      </x:c>
      <x:c r="H50" s="17" t="str">
        <x:v>Viscous aqueous phase produces rate-dependent adhesion; oil cloak buffers humidity</x:v>
      </x:c>
      <x:c r="I50" s="17" t="str">
        <x:v>Separate adhesive function and environmental protection into two phases</x:v>
      </x:c>
      <x:c r="J50" s="17" t="str">
        <x:v>NA14 Regulate adhesion using environmental conditions</x:v>
      </x:c>
      <x:c r="K50" s="17" t="str">
        <x:v>NA10 Generate wet friction through drainage and edge density</x:v>
      </x:c>
      <x:c r="L50" s="17" t="str">
        <x:v>Humidity/rate-adaptive adhesion</x:v>
      </x:c>
      <x:c r="M50" s="17" t="str">
        <x:v>Humidity + separation rate</x:v>
      </x:c>
      <x:c r="N50" s="17" t="str">
        <x:v>Repeatable</x:v>
      </x:c>
      <x:c r="O50" s="17" t="str">
        <x:v>Two-phase liquid adhesive concept</x:v>
      </x:c>
      <x:c r="P50" s="17" t="str">
        <x:v>PSA; MEMS; construction/medicine</x:v>
      </x:c>
      <x:c r="Q50" s="17" t="str">
        <x:v>Groundbreaking / well cited</x:v>
      </x:c>
      <x:c r="R50" s="31" t="str">
        <x:v>https://doi.org/10.1038/s41467-019-09372-x</x:v>
      </x:c>
      <x:c r="S50" s="17" t="str">
        <x:v>Directly supported by attached paper.</x:v>
      </x:c>
      <x:c r="T50" s="32" t="str">
        <x:v>N/A — biological mechanism</x:v>
      </x:c>
      <x:c r="U50" s="33" t="str">
        <x:v>Primary biological/mechanistic study rather than a product implementation.</x:v>
      </x:c>
      <x:c r="V50" s="33" t="str">
        <x:v>Translation depends on the engineering analogue.</x:v>
      </x:c>
      <x:c r="W50" s="34" t="str">
        <x:v>Adaptation</x:v>
      </x:c>
      <x:c r="X50" s="34" t="str">
        <x:v>Environmental / rate responsiveness</x:v>
      </x:c>
      <x:c r="Y50" s="34" t="str">
        <x:v>Feedback</x:v>
      </x:c>
    </x:row>
    <x:row r="51" ht="43.5">
      <x:c r="A51" s="30" t="str">
        <x:v>F20</x:v>
      </x:c>
      <x:c r="B51" s="30" t="str">
        <x:v>Foundational</x:v>
      </x:c>
      <x:c r="C51" s="30" t="n">
        <x:v>2019</x:v>
      </x:c>
      <x:c r="D51" s="17" t="str">
        <x:v>Intrinsically reversible superglues via shape adaptation inspired by snail epiphragm</x:v>
      </x:c>
      <x:c r="E51" s="17" t="str">
        <x:v>PNAS</x:v>
      </x:c>
      <x:c r="F51" s="17" t="str">
        <x:v>Snail epiphragm</x:v>
      </x:c>
      <x:c r="G51" s="17" t="str">
        <x:v>Very high-load adhesion with reversible release</x:v>
      </x:c>
      <x:c r="H51" s="17" t="str">
        <x:v>Hydrated PHEMA conforms; drying stiffens/shape-locks; rewetting softens and releases</x:v>
      </x:c>
      <x:c r="I51" s="17" t="str">
        <x:v>Use a reversible soft-to-rigid state change after conformal contact</x:v>
      </x:c>
      <x:c r="J51" s="17" t="str">
        <x:v>NA15 Switch material state to attach / release</x:v>
      </x:c>
      <x:c r="K51" s="17" t="str">
        <x:v>NA04 Control system compliance and load path</x:v>
      </x:c>
      <x:c r="L51" s="17" t="str">
        <x:v>State-switching dry adhesion</x:v>
      </x:c>
      <x:c r="M51" s="17" t="str">
        <x:v>Drying / rewetting</x:v>
      </x:c>
      <x:c r="N51" s="17" t="str">
        <x:v>Repeatable</x:v>
      </x:c>
      <x:c r="O51" s="17" t="str">
        <x:v>PHEMA hydrogel superglue</x:v>
      </x:c>
      <x:c r="P51" s="17" t="str">
        <x:v>Assembly; reusable closures</x:v>
      </x:c>
      <x:c r="Q51" s="17" t="str">
        <x:v>Groundbreaking</x:v>
      </x:c>
      <x:c r="R51" s="31" t="str">
        <x:v>https://doi.org/10.1073/pnas.1818534116</x:v>
      </x:c>
      <x:c r="S51" s="17" t="str">
        <x:v>Directly traced from attached snail file.</x:v>
      </x:c>
      <x:c r="T51" s="32" t="str">
        <x:v>Lab-scale</x:v>
      </x:c>
      <x:c r="U51" s="33" t="str">
        <x:v>Peer-reviewed laboratory demonstration unless otherwise stated.</x:v>
      </x:c>
      <x:c r="V51" s="33" t="str">
        <x:v>Trigger speed, energy, hysteresis, false activation and reset reliability.</x:v>
      </x:c>
      <x:c r="W51" s="34" t="str">
        <x:v>Adaptation</x:v>
      </x:c>
      <x:c r="X51" s="34" t="str">
        <x:v>State switching; reversible locking</x:v>
      </x:c>
      <x:c r="Y51" s="34" t="str">
        <x:v>Cyclicity</x:v>
      </x:c>
    </x:row>
    <x:row r="52" ht="43.5">
      <x:c r="A52" s="30"/>
      <x:c r="B52" s="30"/>
      <x:c r="C52" s="30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31"/>
      <x:c r="S52" s="17"/>
      <x:c r="T52" s="32"/>
      <x:c r="U52" s="33"/>
      <x:c r="V52" s="33"/>
      <x:c r="W52" s="34"/>
      <x:c r="X52" s="34"/>
      <x:c r="Y52" s="34"/>
    </x:row>
    <x:row r="53" ht="43.5">
      <x:c r="A53" s="30"/>
      <x:c r="B53" s="30"/>
      <x:c r="C53" s="30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31"/>
      <x:c r="S53" s="17"/>
      <x:c r="T53" s="32"/>
      <x:c r="U53" s="33"/>
      <x:c r="V53" s="33"/>
      <x:c r="W53" s="34"/>
      <x:c r="X53" s="34"/>
      <x:c r="Y53" s="34"/>
    </x:row>
    <x:row r="54" ht="58">
      <x:c r="A54" s="30"/>
      <x:c r="B54" s="30"/>
      <x:c r="C54" s="30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31"/>
      <x:c r="S54" s="17"/>
      <x:c r="T54" s="32"/>
      <x:c r="U54" s="33"/>
      <x:c r="V54" s="33"/>
      <x:c r="W54" s="34"/>
      <x:c r="X54" s="34"/>
      <x:c r="Y54" s="34"/>
    </x:row>
    <x:row r="55" ht="43.5">
      <x:c r="A55" s="30"/>
      <x:c r="B55" s="30"/>
      <x:c r="C55" s="30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31"/>
      <x:c r="S55" s="17"/>
      <x:c r="T55" s="32"/>
      <x:c r="U55" s="32"/>
      <x:c r="V55" s="32"/>
      <x:c r="W55" s="34"/>
      <x:c r="X55" s="34"/>
      <x:c r="Y55" s="34"/>
    </x:row>
    <x:row r="56" ht="43.5">
      <x:c r="A56" s="30"/>
      <x:c r="B56" s="30"/>
      <x:c r="C56" s="30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31"/>
      <x:c r="S56" s="17"/>
      <x:c r="T56" s="32"/>
      <x:c r="U56" s="32"/>
      <x:c r="V56" s="32"/>
      <x:c r="W56" s="34"/>
      <x:c r="X56" s="34"/>
      <x:c r="Y56" s="34"/>
    </x:row>
    <x:row r="57" ht="29">
      <x:c r="A57" s="30"/>
      <x:c r="B57" s="30"/>
      <x:c r="C57" s="30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31"/>
      <x:c r="S57" s="17"/>
      <x:c r="T57" s="32"/>
      <x:c r="U57" s="32"/>
      <x:c r="V57" s="32"/>
      <x:c r="W57" s="34"/>
      <x:c r="X57" s="34"/>
      <x:c r="Y57" s="34"/>
    </x:row>
    <x:row r="58" ht="29">
      <x:c r="A58" s="30"/>
      <x:c r="B58" s="30"/>
      <x:c r="C58" s="30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31"/>
      <x:c r="S58" s="17"/>
      <x:c r="T58" s="32"/>
      <x:c r="U58" s="32"/>
      <x:c r="V58" s="32"/>
      <x:c r="W58" s="34"/>
      <x:c r="X58" s="34"/>
      <x:c r="Y58" s="34"/>
    </x:row>
    <x:row r="59" ht="43.5">
      <x:c r="A59" s="30"/>
      <x:c r="B59" s="30"/>
      <x:c r="C59" s="30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31"/>
      <x:c r="S59" s="17"/>
      <x:c r="T59" s="32"/>
      <x:c r="U59" s="32"/>
      <x:c r="V59" s="32"/>
      <x:c r="W59" s="34"/>
      <x:c r="X59" s="34"/>
      <x:c r="Y59" s="34"/>
    </x:row>
    <x:row r="60" ht="43.5">
      <x:c r="A60" s="30"/>
      <x:c r="B60" s="30"/>
      <x:c r="C60" s="30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31"/>
      <x:c r="S60" s="17"/>
      <x:c r="T60" s="32"/>
      <x:c r="U60" s="32"/>
      <x:c r="V60" s="32"/>
      <x:c r="W60" s="34"/>
      <x:c r="X60" s="34"/>
      <x:c r="Y60" s="34"/>
    </x:row>
    <x:row r="61" ht="43.5">
      <x:c r="A61" s="30"/>
      <x:c r="B61" s="30"/>
      <x:c r="C61" s="30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31"/>
      <x:c r="S61" s="17"/>
      <x:c r="T61" s="32"/>
      <x:c r="U61" s="32"/>
      <x:c r="V61" s="32"/>
      <x:c r="W61" s="34"/>
      <x:c r="X61" s="34"/>
      <x:c r="Y61" s="34"/>
    </x:row>
  </x:sheetData>
  <x:dataValidations count="1">
    <x:dataValidation type="list" allowBlank="1" sqref="T2:T61">
      <x:formula1>"Lab-scale (assumed),Lab — confirmed,Pilot / scaled demo,In production (verify industry),Commodity / off-the-shelf,N/A — biological mechanism,Unresolved — searched,not found"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bae2f0acf374db1"/>
  </x:tableParts>
</x:worksheet>
</file>

<file path=xl/worksheets/sheet3.xml><?xml version="1.0" encoding="utf-8"?>
<x:worksheet xmlns:x="http://schemas.openxmlformats.org/spreadsheetml/2006/main">
  <x:sheetFormatPr defaultColWidth="8.6328125" defaultRowHeight="14.5"/>
  <x:cols>
    <x:col min="1" max="1" width="28" style="12" customWidth="1"/>
    <x:col min="2" max="2" width="22" style="12" customWidth="1"/>
    <x:col min="3" max="3" width="42" style="12" customWidth="1"/>
    <x:col min="4" max="4" width="44" style="12" customWidth="1"/>
    <x:col min="5" max="5" width="38" style="12" customWidth="1"/>
    <x:col min="6" max="6" width="24" style="12" customWidth="1"/>
    <x:col min="7" max="7" width="14" style="12" customWidth="1"/>
    <x:col min="8" max="8" width="46" style="12" customWidth="1"/>
  </x:cols>
  <x:sheetData>
    <x:row r="1" ht="30" customHeight="1">
      <x:c r="A1" s="6" t="str">
        <x:v>Nature Adhesion Ontology — AI / knowledge-graph schema</x:v>
      </x:c>
      <x:c r="B1" s="6"/>
      <x:c r="C1" s="6"/>
      <x:c r="D1" s="6"/>
      <x:c r="E1" s="6"/>
      <x:c r="F1" s="6"/>
      <x:c r="G1" s="6"/>
      <x:c r="H1" s="6"/>
    </x:row>
    <x:row r="2" ht="25.5" customHeight="1">
      <x:c r="A2" s="5" t="str">
        <x:v>Recommended data model for converting biological evidence and engineering papers into reasoning-ready adhesion records. Retrieval should begin with challenge/interface constraints, not organism name alone.</x:v>
      </x:c>
      <x:c r="B2" s="5"/>
      <x:c r="C2" s="5"/>
      <x:c r="D2" s="5"/>
      <x:c r="E2" s="5"/>
      <x:c r="F2" s="5"/>
      <x:c r="G2" s="5"/>
      <x:c r="H2" s="5"/>
    </x:row>
    <x:row r="4" ht="33.75" customHeight="1">
      <x:c r="A4" s="14" t="str">
        <x:v>Field</x:v>
      </x:c>
      <x:c r="B4" s="14" t="str">
        <x:v>Entity / layer</x:v>
      </x:c>
      <x:c r="C4" s="14" t="str">
        <x:v>Question the engine answers</x:v>
      </x:c>
      <x:c r="D4" s="14" t="str">
        <x:v>Controlled vocabulary / data type</x:v>
      </x:c>
      <x:c r="E4" s="14" t="str">
        <x:v>Example</x:v>
      </x:c>
      <x:c r="F4" s="14" t="str">
        <x:v>Reasoning role</x:v>
      </x:c>
      <x:c r="G4" s="14" t="str">
        <x:v>Required?</x:v>
      </x:c>
      <x:c r="H4" s="14" t="str">
        <x:v>Validation rule / caveat</x:v>
      </x:c>
    </x:row>
    <x:row r="5" ht="48" customHeight="1">
      <x:c r="A5" s="36" t="str">
        <x:v>Record_ID</x:v>
      </x:c>
      <x:c r="B5" s="36" t="str">
        <x:v>All</x:v>
      </x:c>
      <x:c r="C5" s="15" t="str">
        <x:v>What unique assertion/model/paper/strategy is this?</x:v>
      </x:c>
      <x:c r="D5" s="15" t="str">
        <x:v>Unique string</x:v>
      </x:c>
      <x:c r="E5" s="15" t="str">
        <x:v>BIO-M05 / STR-NA10 / PAP-A02</x:v>
      </x:c>
      <x:c r="F5" s="15" t="str">
        <x:v>Graph identity</x:v>
      </x:c>
      <x:c r="G5" s="15" t="str">
        <x:v>Yes</x:v>
      </x:c>
      <x:c r="H5" s="15" t="str">
        <x:v>Never reuse IDs across entity types.</x:v>
      </x:c>
    </x:row>
    <x:row r="6" ht="48" customHeight="1">
      <x:c r="A6" s="36" t="str">
        <x:v>Entity_Type</x:v>
      </x:c>
      <x:c r="B6" s="36" t="str">
        <x:v>All</x:v>
      </x:c>
      <x:c r="C6" s="15" t="str">
        <x:v>What kind of thing is this record?</x:v>
      </x:c>
      <x:c r="D6" s="15" t="str">
        <x:v>BiologicalModel / Primitive / Strategy / Paper / Relation / Metric / ChallengeRule</x:v>
      </x:c>
      <x:c r="E6" s="15" t="str">
        <x:v>Strategy</x:v>
      </x:c>
      <x:c r="F6" s="15" t="str">
        <x:v>Routing</x:v>
      </x:c>
      <x:c r="G6" s="15" t="str">
        <x:v>Yes</x:v>
      </x:c>
      <x:c r="H6" s="15" t="str">
        <x:v>Controls applicable fields.</x:v>
      </x:c>
    </x:row>
    <x:row r="7" ht="48" customHeight="1">
      <x:c r="A7" s="36" t="str">
        <x:v>Biological_Model_ID</x:v>
      </x:c>
      <x:c r="B7" s="36" t="str">
        <x:v>Biological evidence</x:v>
      </x:c>
      <x:c r="C7" s="15" t="str">
        <x:v>Which organism/system demonstrates the mechanism?</x:v>
      </x:c>
      <x:c r="D7" s="15" t="str">
        <x:v>M01–M30 + expandable</x:v>
      </x:c>
      <x:c r="E7" s="15" t="str">
        <x:v>M07 Octopus sucker</x:v>
      </x:c>
      <x:c r="F7" s="15" t="str">
        <x:v>Evidence anchor</x:v>
      </x:c>
      <x:c r="G7" s="15" t="str">
        <x:v>When biological</x:v>
      </x:c>
      <x:c r="H7" s="15" t="str">
        <x:v>One model can map to many primitives/strategies.</x:v>
      </x:c>
    </x:row>
    <x:row r="8" ht="48" customHeight="1">
      <x:c r="A8" s="36" t="str">
        <x:v>Biological_Domain</x:v>
      </x:c>
      <x:c r="B8" s="36" t="str">
        <x:v>Biological evidence</x:v>
      </x:c>
      <x:c r="C8" s="15" t="str">
        <x:v>What type of living system is it?</x:v>
      </x:c>
      <x:c r="D8" s="15" t="str">
        <x:v>Animal / plant / microorganism / tissue / secretion / hybrid</x:v>
      </x:c>
      <x:c r="E8" s="15" t="str">
        <x:v>Animal</x:v>
      </x:c>
      <x:c r="F8" s="15" t="str">
        <x:v>Transfer context</x:v>
      </x:c>
      <x:c r="G8" s="15" t="str">
        <x:v>Recommended</x:v>
      </x:c>
      <x:c r="H8" s="15" t="str">
        <x:v>Do not infer unsupported taxonomy.</x:v>
      </x:c>
    </x:row>
    <x:row r="9" ht="48" customHeight="1">
      <x:c r="A9" s="36" t="str">
        <x:v>Adhesion_Challenge</x:v>
      </x:c>
      <x:c r="B9" s="36" t="str">
        <x:v>Problem</x:v>
      </x:c>
      <x:c r="C9" s="15" t="str">
        <x:v>What attachment problem must be solved?</x:v>
      </x:c>
      <x:c r="D9" s="15" t="str">
        <x:v>Functional sentence + challenge tags</x:v>
      </x:c>
      <x:c r="E9" s="15" t="str">
        <x:v>Strong reversible wet attachment on curved tissue</x:v>
      </x:c>
      <x:c r="F9" s="15" t="str">
        <x:v>Problem abstraction</x:v>
      </x:c>
      <x:c r="G9" s="15" t="str">
        <x:v>Yes</x:v>
      </x:c>
      <x:c r="H9" s="15" t="str">
        <x:v>State problem, not solution.</x:v>
      </x:c>
    </x:row>
    <x:row r="10" ht="48" customHeight="1">
      <x:c r="A10" s="36" t="str">
        <x:v>Interface_State</x:v>
      </x:c>
      <x:c r="B10" s="36" t="str">
        <x:v>Problem</x:v>
      </x:c>
      <x:c r="C10" s="15" t="str">
        <x:v>What is present at the interface before attachment?</x:v>
      </x:c>
      <x:c r="D10" s="15" t="str">
        <x:v>Dry / humid / wet / flooded / underwater / contaminated / vacuum</x:v>
      </x:c>
      <x:c r="E10" s="15" t="str">
        <x:v>Wet</x:v>
      </x:c>
      <x:c r="F10" s="15" t="str">
        <x:v>Feasibility filter</x:v>
      </x:c>
      <x:c r="G10" s="15" t="str">
        <x:v>Yes</x:v>
      </x:c>
      <x:c r="H10" s="15" t="str">
        <x:v>Critical for mechanism selection.</x:v>
      </x:c>
    </x:row>
    <x:row r="11" ht="48" customHeight="1">
      <x:c r="A11" s="36" t="str">
        <x:v>Substrate_Type</x:v>
      </x:c>
      <x:c r="B11" s="36" t="str">
        <x:v>Problem</x:v>
      </x:c>
      <x:c r="C11" s="15" t="str">
        <x:v>What is being attached to?</x:v>
      </x:c>
      <x:c r="D11" s="15" t="str">
        <x:v>Rigid / soft tissue / polymer / glass / metal / mineral / biological / porous</x:v>
      </x:c>
      <x:c r="E11" s="15" t="str">
        <x:v>Soft tissue</x:v>
      </x:c>
      <x:c r="F11" s="15" t="str">
        <x:v>Compatibility</x:v>
      </x:c>
      <x:c r="G11" s="15" t="str">
        <x:v>Yes</x:v>
      </x:c>
      <x:c r="H11" s="15" t="str">
        <x:v>Store actual material when known.</x:v>
      </x:c>
    </x:row>
    <x:row r="12" ht="48" customHeight="1">
      <x:c r="A12" s="36" t="str">
        <x:v>Substrate_Roughness</x:v>
      </x:c>
      <x:c r="B12" s="36" t="str">
        <x:v>Problem</x:v>
      </x:c>
      <x:c r="C12" s="15" t="str">
        <x:v>How rough is the target?</x:v>
      </x:c>
      <x:c r="D12" s="15" t="str">
        <x:v>Ra/Rq + units or smooth/moderate/rough</x:v>
      </x:c>
      <x:c r="E12" s="15" t="str">
        <x:v>Ra 2 µm</x:v>
      </x:c>
      <x:c r="F12" s="15" t="str">
        <x:v>Geometry filter</x:v>
      </x:c>
      <x:c r="G12" s="15" t="str">
        <x:v>When known</x:v>
      </x:c>
      <x:c r="H12" s="15" t="str">
        <x:v>Do not assume smooth-glass results transfer.</x:v>
      </x:c>
    </x:row>
    <x:row r="13" ht="48" customHeight="1">
      <x:c r="A13" s="36" t="str">
        <x:v>Substrate_Curvature</x:v>
      </x:c>
      <x:c r="B13" s="36" t="str">
        <x:v>Problem</x:v>
      </x:c>
      <x:c r="C13" s="15" t="str">
        <x:v>Is the target flat or curved?</x:v>
      </x:c>
      <x:c r="D13" s="15" t="str">
        <x:v>Flat / convex / concave / radius</x:v>
      </x:c>
      <x:c r="E13" s="15" t="str">
        <x:v>Convex R=20 mm</x:v>
      </x:c>
      <x:c r="F13" s="15" t="str">
        <x:v>Geometry filter</x:v>
      </x:c>
      <x:c r="G13" s="15" t="str">
        <x:v>When relevant</x:v>
      </x:c>
      <x:c r="H13" s="15" t="str">
        <x:v>Especially important for suction and large pads.</x:v>
      </x:c>
    </x:row>
    <x:row r="14" ht="48" customHeight="1">
      <x:c r="A14" s="36" t="str">
        <x:v>Fluid_Type</x:v>
      </x:c>
      <x:c r="B14" s="36" t="str">
        <x:v>Environment</x:v>
      </x:c>
      <x:c r="C14" s="15" t="str">
        <x:v>What liquid or gas surrounds the interface?</x:v>
      </x:c>
      <x:c r="D14" s="15" t="str">
        <x:v>Air / water / seawater / blood / mucus / oil / vacuum</x:v>
      </x:c>
      <x:c r="E14" s="15" t="str">
        <x:v>Seawater</x:v>
      </x:c>
      <x:c r="F14" s="15" t="str">
        <x:v>Mechanism viability</x:v>
      </x:c>
      <x:c r="G14" s="15" t="str">
        <x:v>When relevant</x:v>
      </x:c>
      <x:c r="H14" s="15" t="str">
        <x:v>Surface tension and viscosity matter.</x:v>
      </x:c>
    </x:row>
    <x:row r="15" ht="48" customHeight="1">
      <x:c r="A15" s="36" t="str">
        <x:v>Humidity</x:v>
      </x:c>
      <x:c r="B15" s="36" t="str">
        <x:v>Environment</x:v>
      </x:c>
      <x:c r="C15" s="15" t="str">
        <x:v>What RH range is present?</x:v>
      </x:c>
      <x:c r="D15" s="15" t="str">
        <x:v>% RH / range</x:v>
      </x:c>
      <x:c r="E15" s="15" t="str">
        <x:v>15–75% RH</x:v>
      </x:c>
      <x:c r="F15" s="15" t="str">
        <x:v>Environmental matching</x:v>
      </x:c>
      <x:c r="G15" s="15" t="str">
        <x:v>When relevant</x:v>
      </x:c>
      <x:c r="H15" s="15" t="str">
        <x:v>Needed for NA14.</x:v>
      </x:c>
    </x:row>
    <x:row r="16" ht="48" customHeight="1">
      <x:c r="A16" s="36" t="str">
        <x:v>Temperature</x:v>
      </x:c>
      <x:c r="B16" s="36" t="str">
        <x:v>Environment</x:v>
      </x:c>
      <x:c r="C16" s="15" t="str">
        <x:v>What temperature range is present?</x:v>
      </x:c>
      <x:c r="D16" s="15" t="str">
        <x:v>°C range</x:v>
      </x:c>
      <x:c r="E16" s="15" t="str">
        <x:v>20–40 °C</x:v>
      </x:c>
      <x:c r="F16" s="15" t="str">
        <x:v>Environmental matching</x:v>
      </x:c>
      <x:c r="G16" s="15" t="str">
        <x:v>When relevant</x:v>
      </x:c>
      <x:c r="H16" s="15" t="str">
        <x:v>Controls viscosity, switching, cure.</x:v>
      </x:c>
    </x:row>
    <x:row r="17" ht="48" customHeight="1">
      <x:c r="A17" s="36" t="str">
        <x:v>Contamination_State</x:v>
      </x:c>
      <x:c r="B17" s="36" t="str">
        <x:v>Environment</x:v>
      </x:c>
      <x:c r="C17" s="15" t="str">
        <x:v>Is dust/oil/fouling present?</x:v>
      </x:c>
      <x:c r="D17" s="15" t="str">
        <x:v>Clean / dust / oil / biofouling / mixed</x:v>
      </x:c>
      <x:c r="E17" s="15" t="str">
        <x:v>Dust</x:v>
      </x:c>
      <x:c r="F17" s="15" t="str">
        <x:v>Robustness filter</x:v>
      </x:c>
      <x:c r="G17" s="15" t="str">
        <x:v>Recommended</x:v>
      </x:c>
      <x:c r="H17" s="15" t="str">
        <x:v>Important for dry fibrillar systems.</x:v>
      </x:c>
    </x:row>
    <x:row r="18" ht="48" customHeight="1">
      <x:c r="A18" s="36" t="str">
        <x:v>Target_Load_Mode</x:v>
      </x:c>
      <x:c r="B18" s="36" t="str">
        <x:v>Load</x:v>
      </x:c>
      <x:c r="C18" s="15" t="str">
        <x:v>How will the interface be loaded?</x:v>
      </x:c>
      <x:c r="D18" s="15" t="str">
        <x:v>Normal / shear / peel / mixed / cyclic / impact</x:v>
      </x:c>
      <x:c r="E18" s="15" t="str">
        <x:v>Shear-dominant</x:v>
      </x:c>
      <x:c r="F18" s="15" t="str">
        <x:v>Strategy selection</x:v>
      </x:c>
      <x:c r="G18" s="15" t="str">
        <x:v>Yes</x:v>
      </x:c>
      <x:c r="H18" s="15" t="str">
        <x:v>Directional systems need load vector.</x:v>
      </x:c>
    </x:row>
    <x:row r="19" ht="48" customHeight="1">
      <x:c r="A19" s="36" t="str">
        <x:v>Required_Load</x:v>
      </x:c>
      <x:c r="B19" s="36" t="str">
        <x:v>Load</x:v>
      </x:c>
      <x:c r="C19" s="15" t="str">
        <x:v>What force/stress must be carried?</x:v>
      </x:c>
      <x:c r="D19" s="15" t="str">
        <x:v>Numeric + units</x:v>
      </x:c>
      <x:c r="E19" s="15" t="str">
        <x:v>25 N or 100 kPa</x:v>
      </x:c>
      <x:c r="F19" s="15" t="str">
        <x:v>Sizing</x:v>
      </x:c>
      <x:c r="G19" s="15" t="str">
        <x:v>If known</x:v>
      </x:c>
      <x:c r="H19" s="15" t="str">
        <x:v>Store total and normalized values separately.</x:v>
      </x:c>
    </x:row>
    <x:row r="20" ht="48" customHeight="1">
      <x:c r="A20" s="36" t="str">
        <x:v>Load_Direction_Variability</x:v>
      </x:c>
      <x:c r="B20" s="36" t="str">
        <x:v>Load</x:v>
      </x:c>
      <x:c r="C20" s="15" t="str">
        <x:v>Does the load direction change?</x:v>
      </x:c>
      <x:c r="D20" s="15" t="str">
        <x:v>Fixed / bounded angles / arbitrary / dynamic</x:v>
      </x:c>
      <x:c r="E20" s="15" t="str">
        <x:v>Dynamic</x:v>
      </x:c>
      <x:c r="F20" s="15" t="str">
        <x:v>Control architecture</x:v>
      </x:c>
      <x:c r="G20" s="15" t="str">
        <x:v>Yes</x:v>
      </x:c>
      <x:c r="H20" s="15" t="str">
        <x:v>Drives NA03 vs NA13 choice.</x:v>
      </x:c>
    </x:row>
    <x:row r="21" ht="48" customHeight="1">
      <x:c r="A21" s="36" t="str">
        <x:v>Attachment_Phase</x:v>
      </x:c>
      <x:c r="B21" s="36" t="str">
        <x:v>Ontology</x:v>
      </x:c>
      <x:c r="C21" s="15" t="str">
        <x:v>At which step does the mechanism act?</x:v>
      </x:c>
      <x:c r="D21" s="15" t="str">
        <x:v>0 Prepare / 1 Approach-Recognize / 2 Conform-Contact / 3 Engage / 4 Hold / 5 Release-Reset-Verify</x:v>
      </x:c>
      <x:c r="E21" s="15" t="str">
        <x:v>3 Engage</x:v>
      </x:c>
      <x:c r="F21" s="15" t="str">
        <x:v>Sequence planning</x:v>
      </x:c>
      <x:c r="G21" s="15" t="str">
        <x:v>Yes</x:v>
      </x:c>
      <x:c r="H21" s="15" t="str">
        <x:v>Multi-phase allowed.</x:v>
      </x:c>
    </x:row>
    <x:row r="22" ht="48" customHeight="1">
      <x:c r="A22" s="36" t="str">
        <x:v>Primitive_IDs</x:v>
      </x:c>
      <x:c r="B22" s="36" t="str">
        <x:v>Mechanism</x:v>
      </x:c>
      <x:c r="C22" s="15" t="str">
        <x:v>Which minimal natural actions are present?</x:v>
      </x:c>
      <x:c r="D22" s="15" t="str">
        <x:v>P01–P16 array</x:v>
      </x:c>
      <x:c r="E22" s="15" t="str">
        <x:v>P10,P12</x:v>
      </x:c>
      <x:c r="F22" s="15" t="str">
        <x:v>Mechanism decomposition</x:v>
      </x:c>
      <x:c r="G22" s="15" t="str">
        <x:v>Yes</x:v>
      </x:c>
      <x:c r="H22" s="15" t="str">
        <x:v>Prefer evidence-backed assignment.</x:v>
      </x:c>
    </x:row>
    <x:row r="23" ht="48" customHeight="1">
      <x:c r="A23" s="36" t="str">
        <x:v>Strategy_IDs</x:v>
      </x:c>
      <x:c r="B23" s="36" t="str">
        <x:v>Engineering abstraction</x:v>
      </x:c>
      <x:c r="C23" s="15" t="str">
        <x:v>Which reusable adhesion strategies apply?</x:v>
      </x:c>
      <x:c r="D23" s="15" t="str">
        <x:v>NA01–NA15 array</x:v>
      </x:c>
      <x:c r="E23" s="15" t="str">
        <x:v>NA10,NA15</x:v>
      </x:c>
      <x:c r="F23" s="15" t="str">
        <x:v>Retrieval</x:v>
      </x:c>
      <x:c r="G23" s="15" t="str">
        <x:v>Yes</x:v>
      </x:c>
      <x:c r="H23" s="15" t="str">
        <x:v>Store primary and complementary order.</x:v>
      </x:c>
    </x:row>
    <x:row r="24" ht="48" customHeight="1">
      <x:c r="A24" s="36" t="str">
        <x:v>Mechanism</x:v>
      </x:c>
      <x:c r="B24" s="36" t="str">
        <x:v>Causal layer</x:v>
      </x:c>
      <x:c r="C24" s="15" t="str">
        <x:v>How does attachment actually work?</x:v>
      </x:c>
      <x:c r="D24" s="15" t="str">
        <x:v>Evidence-backed structured prose</x:v>
      </x:c>
      <x:c r="E24" s="15" t="str">
        <x:v>Cavity seals; deformation lowers pressure; pressure differential resists pull-off</x:v>
      </x:c>
      <x:c r="F24" s="15" t="str">
        <x:v>Causal reasoning</x:v>
      </x:c>
      <x:c r="G24" s="15" t="str">
        <x:v>Yes</x:v>
      </x:c>
      <x:c r="H24" s="15" t="str">
        <x:v>Avoid metaphor-only descriptions.</x:v>
      </x:c>
    </x:row>
    <x:row r="25" ht="48" customHeight="1">
      <x:c r="A25" s="36" t="str">
        <x:v>Contact_Geometry</x:v>
      </x:c>
      <x:c r="B25" s="36" t="str">
        <x:v>Interface</x:v>
      </x:c>
      <x:c r="C25" s="15" t="str">
        <x:v>What geometry forms contact?</x:v>
      </x:c>
      <x:c r="D25" s="15" t="str">
        <x:v>Flat / fibrillar / mushroom / suction cup / channel / barb / film / hydrogel</x:v>
      </x:c>
      <x:c r="E25" s="15" t="str">
        <x:v>Suction cup array</x:v>
      </x:c>
      <x:c r="F25" s="15" t="str">
        <x:v>Mechanism transfer</x:v>
      </x:c>
      <x:c r="G25" s="15" t="str">
        <x:v>Yes</x:v>
      </x:c>
      <x:c r="H25" s="15" t="str">
        <x:v>Can be multiscale.</x:v>
      </x:c>
    </x:row>
    <x:row r="26" ht="48" customHeight="1">
      <x:c r="A26" s="36" t="str">
        <x:v>Contact_Scale</x:v>
      </x:c>
      <x:c r="B26" s="36" t="str">
        <x:v>Interface</x:v>
      </x:c>
      <x:c r="C26" s="15" t="str">
        <x:v>What length scales control contact?</x:v>
      </x:c>
      <x:c r="D26" s="15" t="str">
        <x:v>Molecular / nano / micro / macro / hierarchical</x:v>
      </x:c>
      <x:c r="E26" s="15" t="str">
        <x:v>Micro + macro</x:v>
      </x:c>
      <x:c r="F26" s="15" t="str">
        <x:v>Scale matching</x:v>
      </x:c>
      <x:c r="G26" s="15" t="str">
        <x:v>Yes</x:v>
      </x:c>
      <x:c r="H26" s="15" t="str">
        <x:v>Needed for fabrication feasibility.</x:v>
      </x:c>
    </x:row>
    <x:row r="27" ht="48" customHeight="1">
      <x:c r="A27" s="36" t="str">
        <x:v>Real_Contact_Area</x:v>
      </x:c>
      <x:c r="B27" s="36" t="str">
        <x:v>Interface</x:v>
      </x:c>
      <x:c r="C27" s="15" t="str">
        <x:v>How much of nominal area is truly in contact?</x:v>
      </x:c>
      <x:c r="D27" s="15" t="str">
        <x:v>% / area / qualitative</x:v>
      </x:c>
      <x:c r="E27" s="15" t="str">
        <x:v>65%</x:v>
      </x:c>
      <x:c r="F27" s="15" t="str">
        <x:v>Performance mechanism</x:v>
      </x:c>
      <x:c r="G27" s="15" t="str">
        <x:v>When measurable</x:v>
      </x:c>
      <x:c r="H27" s="15" t="str">
        <x:v>Nominal area is not enough.</x:v>
      </x:c>
    </x:row>
    <x:row r="28" ht="48" customHeight="1">
      <x:c r="A28" s="36" t="str">
        <x:v>Preload</x:v>
      </x:c>
      <x:c r="B28" s="36" t="str">
        <x:v>Activation</x:v>
      </x:c>
      <x:c r="C28" s="15" t="str">
        <x:v>What normal load/dwell creates contact?</x:v>
      </x:c>
      <x:c r="D28" s="15" t="str">
        <x:v>N/kPa + time</x:v>
      </x:c>
      <x:c r="E28" s="15" t="str">
        <x:v>5 kPa for 2 s</x:v>
      </x:c>
      <x:c r="F28" s="15" t="str">
        <x:v>Usability</x:v>
      </x:c>
      <x:c r="G28" s="15" t="str">
        <x:v>When relevant</x:v>
      </x:c>
      <x:c r="H28" s="15" t="str">
        <x:v>Dry structured adhesives can be preload-sensitive.</x:v>
      </x:c>
    </x:row>
    <x:row r="29" ht="48" customHeight="1">
      <x:c r="A29" s="36" t="str">
        <x:v>Directionality</x:v>
      </x:c>
      <x:c r="B29" s="36" t="str">
        <x:v>Activation</x:v>
      </x:c>
      <x:c r="C29" s="15" t="str">
        <x:v>Is attachment anisotropic?</x:v>
      </x:c>
      <x:c r="D29" s="15" t="str">
        <x:v>Ratio + angle map / qualitative</x:v>
      </x:c>
      <x:c r="E29" s="15" t="str">
        <x:v>Strong in +x shear; weak in peel</x:v>
      </x:c>
      <x:c r="F29" s="15" t="str">
        <x:v>Control</x:v>
      </x:c>
      <x:c r="G29" s="15" t="str">
        <x:v>When relevant</x:v>
      </x:c>
      <x:c r="H29" s="15" t="str">
        <x:v>Store both attach and release directions.</x:v>
      </x:c>
    </x:row>
    <x:row r="30" ht="48" customHeight="1">
      <x:c r="A30" s="36" t="str">
        <x:v>System_Compliance</x:v>
      </x:c>
      <x:c r="B30" s="36" t="str">
        <x:v>Load path</x:v>
      </x:c>
      <x:c r="C30" s="15" t="str">
        <x:v>How compliant is the whole adhesive system in the load direction?</x:v>
      </x:c>
      <x:c r="D30" s="15" t="str">
        <x:v>m/N or N/mm; geometry-specific</x:v>
      </x:c>
      <x:c r="E30" s="15" t="str">
        <x:v>0.2 mm/N</x:v>
      </x:c>
      <x:c r="F30" s="15" t="str">
        <x:v>Scaling</x:v>
      </x:c>
      <x:c r="G30" s="15" t="str">
        <x:v>For load-bearing</x:v>
      </x:c>
      <x:c r="H30" s="15" t="str">
        <x:v>Include backing/support, not just interface.</x:v>
      </x:c>
    </x:row>
    <x:row r="31" ht="48" customHeight="1">
      <x:c r="A31" s="36" t="str">
        <x:v>Stiffness_Gradient</x:v>
      </x:c>
      <x:c r="B31" s="36" t="str">
        <x:v>Load path</x:v>
      </x:c>
      <x:c r="C31" s="15" t="str">
        <x:v>Is modulus spatially graded?</x:v>
      </x:c>
      <x:c r="D31" s="15" t="str">
        <x:v>Profile / ratio / qualitative</x:v>
      </x:c>
      <x:c r="E31" s="15" t="str">
        <x:v>Soft surface → stiff backing</x:v>
      </x:c>
      <x:c r="F31" s="15" t="str">
        <x:v>Conformity/load transfer</x:v>
      </x:c>
      <x:c r="G31" s="15" t="str">
        <x:v>Optional</x:v>
      </x:c>
      <x:c r="H31" s="15" t="str">
        <x:v>Useful for NA04.</x:v>
      </x:c>
    </x:row>
    <x:row r="32" ht="48" customHeight="1">
      <x:c r="A32" s="36" t="str">
        <x:v>Interfacial_Interaction</x:v>
      </x:c>
      <x:c r="B32" s="36" t="str">
        <x:v>Chemistry</x:v>
      </x:c>
      <x:c r="C32" s="15" t="str">
        <x:v>What intermolecular interactions carry adhesion?</x:v>
      </x:c>
      <x:c r="D32" s="15" t="str">
        <x:v>vdW / H-bond / catechol coordination / covalent / electrostatic / host–guest</x:v>
      </x:c>
      <x:c r="E32" s="15" t="str">
        <x:v>Catechol + H-bond</x:v>
      </x:c>
      <x:c r="F32" s="15" t="str">
        <x:v>Chemistry matching</x:v>
      </x:c>
      <x:c r="G32" s="15" t="str">
        <x:v>When molecular</x:v>
      </x:c>
      <x:c r="H32" s="15" t="str">
        <x:v>Multiple interactions allowed.</x:v>
      </x:c>
    </x:row>
    <x:row r="33" ht="48" customHeight="1">
      <x:c r="A33" s="36" t="str">
        <x:v>Molecular_Anchor</x:v>
      </x:c>
      <x:c r="B33" s="36" t="str">
        <x:v>Chemistry</x:v>
      </x:c>
      <x:c r="C33" s="15" t="str">
        <x:v>What functional group or sequence anchors to surface?</x:v>
      </x:c>
      <x:c r="D33" s="15" t="str">
        <x:v>Catechol/DOPA / lysine / peptide motif / other</x:v>
      </x:c>
      <x:c r="E33" s="15" t="str">
        <x:v>DOPA + lysine</x:v>
      </x:c>
      <x:c r="F33" s="15" t="str">
        <x:v>Surface specificity</x:v>
      </x:c>
      <x:c r="G33" s="15" t="str">
        <x:v>When relevant</x:v>
      </x:c>
      <x:c r="H33" s="15" t="str">
        <x:v>Do not reduce mussel adhesion to DOPA only if source shows sequence effects.</x:v>
      </x:c>
    </x:row>
    <x:row r="34" ht="48" customHeight="1">
      <x:c r="A34" s="36" t="str">
        <x:v>Phase_Separation_Mode</x:v>
      </x:c>
      <x:c r="B34" s="36" t="str">
        <x:v>Delivery</x:v>
      </x:c>
      <x:c r="C34" s="15" t="str">
        <x:v>Is adhesive delivered as a dense phase?</x:v>
      </x:c>
      <x:c r="D34" s="15" t="str">
        <x:v>None / coacervate / LLPS / emulsion / two-phase fluid</x:v>
      </x:c>
      <x:c r="E34" s="15" t="str">
        <x:v>Coacervate</x:v>
      </x:c>
      <x:c r="F34" s="15" t="str">
        <x:v>Delivery feasibility</x:v>
      </x:c>
      <x:c r="G34" s="15" t="str">
        <x:v>Optional</x:v>
      </x:c>
      <x:c r="H34" s="15" t="str">
        <x:v>Relevant to NA08/NA14.</x:v>
      </x:c>
    </x:row>
    <x:row r="35" ht="48" customHeight="1">
      <x:c r="A35" s="36" t="str">
        <x:v>Liquid_Management</x:v>
      </x:c>
      <x:c r="B35" s="36" t="str">
        <x:v>Wet interface</x:v>
      </x:c>
      <x:c r="C35" s="15" t="str">
        <x:v>How is interfacial liquid handled?</x:v>
      </x:c>
      <x:c r="D35" s="15" t="str">
        <x:v>Drain / wick / dewet / retain thin film / buffer humidity / none</x:v>
      </x:c>
      <x:c r="E35" s="15" t="str">
        <x:v>Drain + thin mucus film</x:v>
      </x:c>
      <x:c r="F35" s="15" t="str">
        <x:v>Wet feasibility</x:v>
      </x:c>
      <x:c r="G35" s="15" t="str">
        <x:v>When wet</x:v>
      </x:c>
      <x:c r="H35" s="15" t="str">
        <x:v>Central to NA09/NA10.</x:v>
      </x:c>
    </x:row>
    <x:row r="36" ht="48" customHeight="1">
      <x:c r="A36" s="36" t="str">
        <x:v>Pressure_Differential</x:v>
      </x:c>
      <x:c r="B36" s="36" t="str">
        <x:v>Wet interface</x:v>
      </x:c>
      <x:c r="C36" s="15" t="str">
        <x:v>Is suction/negative pressure used?</x:v>
      </x:c>
      <x:c r="D36" s="15" t="str">
        <x:v>kPa + leak rate / qualitative</x:v>
      </x:c>
      <x:c r="E36" s="15" t="str">
        <x:v>-20 kPa</x:v>
      </x:c>
      <x:c r="F36" s="15" t="str">
        <x:v>Hold mechanism</x:v>
      </x:c>
      <x:c r="G36" s="15" t="str">
        <x:v>When relevant</x:v>
      </x:c>
      <x:c r="H36" s="15" t="str">
        <x:v>Separate suction contribution from friction/chemistry.</x:v>
      </x:c>
    </x:row>
    <x:row r="37" ht="48" customHeight="1">
      <x:c r="A37" s="36" t="str">
        <x:v>Mechanical_Interlock</x:v>
      </x:c>
      <x:c r="B37" s="36" t="str">
        <x:v>Subsurface</x:v>
      </x:c>
      <x:c r="C37" s="15" t="str">
        <x:v>Does geometry lock into substrate?</x:v>
      </x:c>
      <x:c r="D37" s="15" t="str">
        <x:v>Barb / hook / swelling anchor / none</x:v>
      </x:c>
      <x:c r="E37" s="15" t="str">
        <x:v>Backward barb</x:v>
      </x:c>
      <x:c r="F37" s="15" t="str">
        <x:v>Attachment mode</x:v>
      </x:c>
      <x:c r="G37" s="15" t="str">
        <x:v>When invasive</x:v>
      </x:c>
      <x:c r="H37" s="15" t="str">
        <x:v>Record insertion/removal asymmetry.</x:v>
      </x:c>
    </x:row>
    <x:row r="38" ht="48" customHeight="1">
      <x:c r="A38" s="36" t="str">
        <x:v>Shape_Change</x:v>
      </x:c>
      <x:c r="B38" s="36" t="str">
        <x:v>Responsive</x:v>
      </x:c>
      <x:c r="C38" s="15" t="str">
        <x:v>Does geometry transform after placement?</x:v>
      </x:c>
      <x:c r="D38" s="15" t="str">
        <x:v>Swelling / rotation / folding / softening / stiffening / none</x:v>
      </x:c>
      <x:c r="E38" s="15" t="str">
        <x:v>Swelling tip</x:v>
      </x:c>
      <x:c r="F38" s="15" t="str">
        <x:v>Switching logic</x:v>
      </x:c>
      <x:c r="G38" s="15" t="str">
        <x:v>Optional</x:v>
      </x:c>
      <x:c r="H38" s="15" t="str">
        <x:v>Relevant to NA12/NA15.</x:v>
      </x:c>
    </x:row>
    <x:row r="39" ht="48" customHeight="1">
      <x:c r="A39" s="36" t="str">
        <x:v>Environmental_Response</x:v>
      </x:c>
      <x:c r="B39" s="36" t="str">
        <x:v>Responsive</x:v>
      </x:c>
      <x:c r="C39" s="15" t="str">
        <x:v>Does humidity/rate/temp alter adhesion?</x:v>
      </x:c>
      <x:c r="D39" s="15" t="str">
        <x:v>Response curve + variable</x:v>
      </x:c>
      <x:c r="E39" s="15" t="str">
        <x:v>Force vs RH</x:v>
      </x:c>
      <x:c r="F39" s="15" t="str">
        <x:v>Robustness/adaptation</x:v>
      </x:c>
      <x:c r="G39" s="15" t="str">
        <x:v>When relevant</x:v>
      </x:c>
      <x:c r="H39" s="15" t="str">
        <x:v>Store full window, not one point.</x:v>
      </x:c>
    </x:row>
    <x:row r="40" ht="48" customHeight="1">
      <x:c r="A40" s="36" t="str">
        <x:v>Trigger_or_Sensor</x:v>
      </x:c>
      <x:c r="B40" s="36" t="str">
        <x:v>Control</x:v>
      </x:c>
      <x:c r="C40" s="15" t="str">
        <x:v>What starts engagement/release?</x:v>
      </x:c>
      <x:c r="D40" s="15" t="str">
        <x:v>Contact / shear / water / heat / light / magnetic / electric / pH / controller</x:v>
      </x:c>
      <x:c r="E40" s="15" t="str">
        <x:v>Magnetic field</x:v>
      </x:c>
      <x:c r="F40" s="15" t="str">
        <x:v>Activation</x:v>
      </x:c>
      <x:c r="G40" s="15" t="str">
        <x:v>For active systems</x:v>
      </x:c>
      <x:c r="H40" s="15" t="str">
        <x:v>Separate trigger from environmental exposure.</x:v>
      </x:c>
    </x:row>
    <x:row r="41" ht="48" customHeight="1">
      <x:c r="A41" s="36" t="str">
        <x:v>Controller_or_Feedback</x:v>
      </x:c>
      <x:c r="B41" s="36" t="str">
        <x:v>Control</x:v>
      </x:c>
      <x:c r="C41" s="15" t="str">
        <x:v>How is state sensed/controlled?</x:v>
      </x:c>
      <x:c r="D41" s="15" t="str">
        <x:v>Mechanical geometry / electronics / pressure sensor / none</x:v>
      </x:c>
      <x:c r="E41" s="15" t="str">
        <x:v>Strain sensor + controller</x:v>
      </x:c>
      <x:c r="F41" s="15" t="str">
        <x:v>Closed loop</x:v>
      </x:c>
      <x:c r="G41" s="15" t="str">
        <x:v>Optional</x:v>
      </x:c>
      <x:c r="H41" s="15" t="str">
        <x:v>Do not invent feedback for passive systems.</x:v>
      </x:c>
    </x:row>
    <x:row r="42" ht="48" customHeight="1">
      <x:c r="A42" s="36" t="str">
        <x:v>Hold_Mode</x:v>
      </x:c>
      <x:c r="B42" s="36" t="str">
        <x:v>Outcome</x:v>
      </x:c>
      <x:c r="C42" s="15" t="str">
        <x:v>What state maintains attachment?</x:v>
      </x:c>
      <x:c r="D42" s="15" t="str">
        <x:v>Static vdW / suction / cured chemistry / friction / interlock / stiffened state</x:v>
      </x:c>
      <x:c r="E42" s="15" t="str">
        <x:v>Suction + friction</x:v>
      </x:c>
      <x:c r="F42" s="15" t="str">
        <x:v>Mechanism comparison</x:v>
      </x:c>
      <x:c r="G42" s="15" t="str">
        <x:v>Yes</x:v>
      </x:c>
      <x:c r="H42" s="15" t="str">
        <x:v>Can combine modes.</x:v>
      </x:c>
    </x:row>
    <x:row r="43" ht="48" customHeight="1">
      <x:c r="A43" s="36" t="str">
        <x:v>Release_Mode</x:v>
      </x:c>
      <x:c r="B43" s="36" t="str">
        <x:v>Outcome</x:v>
      </x:c>
      <x:c r="C43" s="15" t="str">
        <x:v>How is detachment achieved?</x:v>
      </x:c>
      <x:c r="D43" s="15" t="str">
        <x:v>Peel / reverse shear / vent pressure / rewet / heat / magnetic / dissolve / cut</x:v>
      </x:c>
      <x:c r="E43" s="15" t="str">
        <x:v>Reverse shear</x:v>
      </x:c>
      <x:c r="F43" s="15" t="str">
        <x:v>Release reasoning</x:v>
      </x:c>
      <x:c r="G43" s="15" t="str">
        <x:v>Yes for reversible</x:v>
      </x:c>
      <x:c r="H43" s="15" t="str">
        <x:v>Easy release is a design requirement, not afterthought.</x:v>
      </x:c>
    </x:row>
    <x:row r="44" ht="48" customHeight="1">
      <x:c r="A44" s="36" t="str">
        <x:v>Reset_Mode</x:v>
      </x:c>
      <x:c r="B44" s="36" t="str">
        <x:v>Lifecycle</x:v>
      </x:c>
      <x:c r="C44" s="15" t="str">
        <x:v>How is attachment capacity restored?</x:v>
      </x:c>
      <x:c r="D44" s="15" t="str">
        <x:v>None / self-clean / rewet / cool / reorient / repressurize / recharge</x:v>
      </x:c>
      <x:c r="E44" s="15" t="str">
        <x:v>Reorient pad</x:v>
      </x:c>
      <x:c r="F44" s="15" t="str">
        <x:v>Lifecycle</x:v>
      </x:c>
      <x:c r="G44" s="15" t="str">
        <x:v>For repeatable</x:v>
      </x:c>
      <x:c r="H44" s="15" t="str">
        <x:v>Different from release mode.</x:v>
      </x:c>
    </x:row>
    <x:row r="45" ht="48" customHeight="1">
      <x:c r="A45" s="36" t="str">
        <x:v>Repeatability</x:v>
      </x:c>
      <x:c r="B45" s="36" t="str">
        <x:v>Lifecycle</x:v>
      </x:c>
      <x:c r="C45" s="15" t="str">
        <x:v>How many attach-release cycles are possible?</x:v>
      </x:c>
      <x:c r="D45" s="15" t="str">
        <x:v>Single-use / finite / multi-cycle / &gt;N tested</x:v>
      </x:c>
      <x:c r="E45" s="15" t="str">
        <x:v>1100 cycles</x:v>
      </x:c>
      <x:c r="F45" s="15" t="str">
        <x:v>Lifecycle</x:v>
      </x:c>
      <x:c r="G45" s="15" t="str">
        <x:v>Yes</x:v>
      </x:c>
      <x:c r="H45" s="15" t="str">
        <x:v>Differentiate tested from inferred.</x:v>
      </x:c>
    </x:row>
    <x:row r="46" ht="48" customHeight="1">
      <x:c r="A46" s="36" t="str">
        <x:v>Fatigue_or_Depletion</x:v>
      </x:c>
      <x:c r="B46" s="36" t="str">
        <x:v>Lifecycle</x:v>
      </x:c>
      <x:c r="C46" s="15" t="str">
        <x:v>What makes performance decay?</x:v>
      </x:c>
      <x:c r="D46" s="15" t="str">
        <x:v>Feature damage / contamination / chemistry exhaustion / hysteresis / tissue damage</x:v>
      </x:c>
      <x:c r="E46" s="15" t="str">
        <x:v>Feature matting</x:v>
      </x:c>
      <x:c r="F46" s="15" t="str">
        <x:v>Risk</x:v>
      </x:c>
      <x:c r="G46" s="15" t="str">
        <x:v>Recommended</x:v>
      </x:c>
      <x:c r="H46" s="15" t="str">
        <x:v>Key to long-term use.</x:v>
      </x:c>
    </x:row>
    <x:row r="47" ht="48" customHeight="1">
      <x:c r="A47" s="36" t="str">
        <x:v>Self_Cleaning</x:v>
      </x:c>
      <x:c r="B47" s="36" t="str">
        <x:v>Lifecycle</x:v>
      </x:c>
      <x:c r="C47" s="15" t="str">
        <x:v>Can contamination be removed intrinsically?</x:v>
      </x:c>
      <x:c r="D47" s="15" t="str">
        <x:v>None / contact self-clean / vibration / wash / surface shedding</x:v>
      </x:c>
      <x:c r="E47" s="15" t="str">
        <x:v>Contact self-clean</x:v>
      </x:c>
      <x:c r="F47" s="15" t="str">
        <x:v>Robustness</x:v>
      </x:c>
      <x:c r="G47" s="15" t="str">
        <x:v>Optional</x:v>
      </x:c>
      <x:c r="H47" s="15" t="str">
        <x:v>Require evidence.</x:v>
      </x:c>
    </x:row>
    <x:row r="48" ht="48" customHeight="1">
      <x:c r="A48" s="36" t="str">
        <x:v>Energy_Source</x:v>
      </x:c>
      <x:c r="B48" s="36" t="str">
        <x:v>Control</x:v>
      </x:c>
      <x:c r="C48" s="15" t="str">
        <x:v>What external energy is required?</x:v>
      </x:c>
      <x:c r="D48" s="15" t="str">
        <x:v>Passive / mechanical / magnetic / electric / thermal / optical / chemical</x:v>
      </x:c>
      <x:c r="E48" s="15" t="str">
        <x:v>Passive</x:v>
      </x:c>
      <x:c r="F48" s="15" t="str">
        <x:v>Autonomy/cost</x:v>
      </x:c>
      <x:c r="G48" s="15" t="str">
        <x:v>Yes</x:v>
      </x:c>
      <x:c r="H48" s="15" t="str">
        <x:v>Quantify when possible.</x:v>
      </x:c>
    </x:row>
    <x:row r="49" ht="48" customHeight="1">
      <x:c r="A49" s="36" t="str">
        <x:v>Response_Time</x:v>
      </x:c>
      <x:c r="B49" s="36" t="str">
        <x:v>Temporal</x:v>
      </x:c>
      <x:c r="C49" s="15" t="str">
        <x:v>How quickly does attachment/release occur?</x:v>
      </x:c>
      <x:c r="D49" s="15" t="str">
        <x:v>ms/s/min/h</x:v>
      </x:c>
      <x:c r="E49" s="15" t="str">
        <x:v>&lt;1 s release</x:v>
      </x:c>
      <x:c r="F49" s="15" t="str">
        <x:v>Cycle feasibility</x:v>
      </x:c>
      <x:c r="G49" s="15" t="str">
        <x:v>When active</x:v>
      </x:c>
      <x:c r="H49" s="15" t="str">
        <x:v>Pair with trigger conditions.</x:v>
      </x:c>
    </x:row>
    <x:row r="50" ht="48" customHeight="1">
      <x:c r="A50" s="36" t="str">
        <x:v>Function_Restored_or_Achieved</x:v>
      </x:c>
      <x:c r="B50" s="36" t="str">
        <x:v>Outcome</x:v>
      </x:c>
      <x:c r="C50" s="15" t="str">
        <x:v>What capability does adhesion enable?</x:v>
      </x:c>
      <x:c r="D50" s="15" t="str">
        <x:v>Hold / locomotion / sealing / tissue fixation / transfer / sensing / positioning</x:v>
      </x:c>
      <x:c r="E50" s="15" t="str">
        <x:v>Pick-and-place</x:v>
      </x:c>
      <x:c r="F50" s="15" t="str">
        <x:v>Application reasoning</x:v>
      </x:c>
      <x:c r="G50" s="15" t="str">
        <x:v>Yes</x:v>
      </x:c>
      <x:c r="H50" s="15" t="str">
        <x:v>State function, not mechanism.</x:v>
      </x:c>
    </x:row>
    <x:row r="51" ht="48" customHeight="1">
      <x:c r="A51" s="36" t="str">
        <x:v>Metric_IDs</x:v>
      </x:c>
      <x:c r="B51" s="36" t="str">
        <x:v>Evaluation</x:v>
      </x:c>
      <x:c r="C51" s="15" t="str">
        <x:v>Which metrics quantify success?</x:v>
      </x:c>
      <x:c r="D51" s="15" t="str">
        <x:v>E01–E22 array</x:v>
      </x:c>
      <x:c r="E51" s="15" t="str">
        <x:v>E02,E09,E12</x:v>
      </x:c>
      <x:c r="F51" s="15" t="str">
        <x:v>Comparable evidence</x:v>
      </x:c>
      <x:c r="G51" s="15" t="str">
        <x:v>Yes</x:v>
      </x:c>
      <x:c r="H51" s="15" t="str">
        <x:v>Avoid generic 'adhesion strength' alone.</x:v>
      </x:c>
    </x:row>
    <x:row r="52">
      <x:c r="A52" t="str">
        <x:v>Performance_Value</x:v>
      </x:c>
      <x:c r="B52" t="str">
        <x:v>Evaluation</x:v>
      </x:c>
      <x:c r="C52" t="str">
        <x:v>What result was measured?</x:v>
      </x:c>
      <x:c r="D52" t="str">
        <x:v>Numeric + units + metric ID</x:v>
      </x:c>
      <x:c r="E52" t="str">
        <x:v>87.8 kPa attach; &lt;0.07 kPa detach</x:v>
      </x:c>
      <x:c r="F52" t="str">
        <x:v>Evidence weighting</x:v>
      </x:c>
      <x:c r="G52" t="str">
        <x:v>When reported</x:v>
      </x:c>
      <x:c r="H52" t="str">
        <x:v>Always pair with conditions.</x:v>
      </x:c>
    </x:row>
    <x:row r="53">
      <x:c r="A53" t="str">
        <x:v>Test_Conditions</x:v>
      </x:c>
      <x:c r="B53" t="str">
        <x:v>Evaluation</x:v>
      </x:c>
      <x:c r="C53" t="str">
        <x:v>Under what substrate/environment/rate was value achieved?</x:v>
      </x:c>
      <x:c r="D53" t="str">
        <x:v>Structured protocol</x:v>
      </x:c>
      <x:c r="E53" t="str">
        <x:v>Smooth glass, dry, shear trigger 10.7 kPa</x:v>
      </x:c>
      <x:c r="F53" t="str">
        <x:v>Transfer feasibility</x:v>
      </x:c>
      <x:c r="G53" t="str">
        <x:v>Yes when quantitative</x:v>
      </x:c>
      <x:c r="H53" t="str">
        <x:v>No number without context.</x:v>
      </x:c>
    </x:row>
    <x:row r="54" ht="15" customHeight="1">
      <x:c r="A54" s="10" t="str">
        <x:v>Release_Damage</x:v>
      </x:c>
      <x:c r="B54" s="10" t="str">
        <x:v>Evaluation</x:v>
      </x:c>
      <x:c r="C54" s="10" t="str">
        <x:v>What damage/residue remains after detachment?</x:v>
      </x:c>
      <x:c r="D54" s="10" t="str">
        <x:v>None / residue / tissue trauma / surface damage + metric</x:v>
      </x:c>
      <x:c r="E54" s="10" t="str">
        <x:v>No visible residue</x:v>
      </x:c>
      <x:c r="F54" s="10" t="str">
        <x:v>Safety/quality</x:v>
      </x:c>
      <x:c r="G54" s="10" t="str">
        <x:v>Recommended</x:v>
      </x:c>
      <x:c r="H54" s="10" t="str">
        <x:v>Critical for reusable/medical systems.</x:v>
      </x:c>
    </x:row>
    <x:row r="55">
      <x:c r="A55" s="14" t="str">
        <x:v>Failure_Mode</x:v>
      </x:c>
      <x:c r="B55" s="14" t="str">
        <x:v>Constraint</x:v>
      </x:c>
      <x:c r="C55" s="14" t="str">
        <x:v>Why can the strategy fail?</x:v>
      </x:c>
      <x:c r="D55" t="str">
        <x:v>Controlled list + prose</x:v>
      </x:c>
      <x:c r="E55" t="str">
        <x:v>Seal leakage on rough porous surface</x:v>
      </x:c>
      <x:c r="F55" t="str">
        <x:v>Rejection filter</x:v>
      </x:c>
      <x:c r="G55" t="str">
        <x:v>Yes</x:v>
      </x:c>
      <x:c r="H55" t="str">
        <x:v>Use to reject unsuitable analogies.</x:v>
      </x:c>
    </x:row>
    <x:row r="56" ht="26">
      <x:c r="A56" s="36" t="str">
        <x:v>Tradeoff</x:v>
      </x:c>
      <x:c r="B56" s="15" t="str">
        <x:v>Constraint</x:v>
      </x:c>
      <x:c r="C56" s="15" t="str">
        <x:v>What performance dimension is sacrificed?</x:v>
      </x:c>
      <x:c r="D56" t="str">
        <x:v>Strength↔release; compliance↔creep; seal↔roughness; cure↔reversibility</x:v>
      </x:c>
      <x:c r="E56" t="str">
        <x:v>Strength vs switching speed</x:v>
      </x:c>
      <x:c r="F56" t="str">
        <x:v>Optimization</x:v>
      </x:c>
      <x:c r="G56" t="str">
        <x:v>Recommended</x:v>
      </x:c>
      <x:c r="H56" t="str">
        <x:v>Multiple tradeoffs allowed.</x:v>
      </x:c>
    </x:row>
    <x:row r="57" ht="39">
      <x:c r="A57" s="36" t="str">
        <x:v>Application_Domain</x:v>
      </x:c>
      <x:c r="B57" s="15" t="str">
        <x:v>Translation</x:v>
      </x:c>
      <x:c r="C57" s="15" t="str">
        <x:v>Where could this be engineered?</x:v>
      </x:c>
      <x:c r="D57" t="str">
        <x:v>Robotics / medical / manufacturing / electronics / marine / consumer</x:v>
      </x:c>
      <x:c r="E57" t="str">
        <x:v>Marine robotics</x:v>
      </x:c>
      <x:c r="F57" t="str">
        <x:v>Routing</x:v>
      </x:c>
      <x:c r="G57" t="str">
        <x:v>Recommended</x:v>
      </x:c>
      <x:c r="H57" t="str">
        <x:v>Application is downstream of mechanism.</x:v>
      </x:c>
    </x:row>
    <x:row r="58" ht="26">
      <x:c r="A58" s="36" t="str">
        <x:v>Maturity_Level</x:v>
      </x:c>
      <x:c r="B58" s="15" t="str">
        <x:v>Translation</x:v>
      </x:c>
      <x:c r="C58" s="15" t="str">
        <x:v>How mature is the engineering implementation?</x:v>
      </x:c>
      <x:c r="D58" t="str">
        <x:v>Lab / pilot / production / commodity / N/A biological</x:v>
      </x:c>
      <x:c r="E58" t="str">
        <x:v>Lab-scale</x:v>
      </x:c>
      <x:c r="F58" t="str">
        <x:v>Planning</x:v>
      </x:c>
      <x:c r="G58" t="str">
        <x:v>Yes</x:v>
      </x:c>
      <x:c r="H58" t="str">
        <x:v>Do not infer production from citation count.</x:v>
      </x:c>
    </x:row>
    <x:row r="59" ht="39">
      <x:c r="A59" s="36" t="str">
        <x:v>Scale_Up_Blocker</x:v>
      </x:c>
      <x:c r="B59" s="15" t="str">
        <x:v>Translation</x:v>
      </x:c>
      <x:c r="C59" s="15" t="str">
        <x:v>What blocks manufacture/deployment?</x:v>
      </x:c>
      <x:c r="D59" t="str">
        <x:v>Yield / durability / cost / uniformity / control / regulation / trigger availability</x:v>
      </x:c>
      <x:c r="E59" t="str">
        <x:v>Microfeature yield</x:v>
      </x:c>
      <x:c r="F59" t="str">
        <x:v>Actionability</x:v>
      </x:c>
      <x:c r="G59" t="str">
        <x:v>Recommended</x:v>
      </x:c>
      <x:c r="H59" t="str">
        <x:v>One concrete blocker minimum.</x:v>
      </x:c>
    </x:row>
    <x:row r="60">
      <x:c r="A60" s="36" t="str">
        <x:v>Evidence_Type</x:v>
      </x:c>
      <x:c r="B60" s="15" t="str">
        <x:v>Provenance</x:v>
      </x:c>
      <x:c r="C60" s="15" t="str">
        <x:v>What kind of source supports the record?</x:v>
      </x:c>
      <x:c r="D60" t="str">
        <x:v>Primary paper / review / thesis / patent / report / presentation / news</x:v>
      </x:c>
      <x:c r="E60" t="str">
        <x:v>Primary paper</x:v>
      </x:c>
      <x:c r="F60" t="str">
        <x:v>Evidence weighting</x:v>
      </x:c>
      <x:c r="G60" t="str">
        <x:v>Yes</x:v>
      </x:c>
      <x:c r="H60" t="str">
        <x:v>Patent/presentation ≠ peer-reviewed proof.</x:v>
      </x:c>
    </x:row>
    <x:row r="61">
      <x:c r="A61" s="36" t="str">
        <x:v>Evidence_Weight</x:v>
      </x:c>
      <x:c r="B61" s="15" t="str">
        <x:v>Provenance</x:v>
      </x:c>
      <x:c r="C61" s="15" t="str">
        <x:v>How strongly should the engine trust this assertion?</x:v>
      </x:c>
      <x:c r="D61" t="str">
        <x:v>Very high / high / medium / low</x:v>
      </x:c>
      <x:c r="E61" t="str">
        <x:v>Very high</x:v>
      </x:c>
      <x:c r="F61" t="str">
        <x:v>Reasoning weight</x:v>
      </x:c>
      <x:c r="G61" t="str">
        <x:v>Yes</x:v>
      </x:c>
      <x:c r="H61" t="str">
        <x:v>Based on source type + directness.</x:v>
      </x:c>
    </x:row>
    <x:row r="62" ht="26">
      <x:c r="A62" s="36" t="str">
        <x:v>Source_URL_or_File</x:v>
      </x:c>
      <x:c r="B62" s="15" t="str">
        <x:v>Provenance</x:v>
      </x:c>
      <x:c r="C62" s="15" t="str">
        <x:v>Where can evidence be checked?</x:v>
      </x:c>
      <x:c r="D62" t="str">
        <x:v>URL / attached filename</x:v>
      </x:c>
      <x:c r="E62" t="str">
        <x:v>https://doi.org/...</x:v>
      </x:c>
      <x:c r="F62" t="str">
        <x:v>Traceability</x:v>
      </x:c>
      <x:c r="G62" t="str">
        <x:v>Yes</x:v>
      </x:c>
      <x:c r="H62" t="str">
        <x:v>Use primary publisher/DOI when possible.</x:v>
      </x:c>
    </x:row>
    <x:row r="63" ht="26">
      <x:c r="A63" s="36" t="str">
        <x:v>Inference_Flag</x:v>
      </x:c>
      <x:c r="B63" s="15" t="str">
        <x:v>Provenance</x:v>
      </x:c>
      <x:c r="C63" s="15" t="str">
        <x:v>Is this directly sourced or inferred?</x:v>
      </x:c>
      <x:c r="D63" t="str">
        <x:v>Source-derived / ontology synthesis / inference</x:v>
      </x:c>
      <x:c r="E63" t="str">
        <x:v>Source-derived</x:v>
      </x:c>
      <x:c r="F63" t="str">
        <x:v>Trust control</x:v>
      </x:c>
      <x:c r="G63" t="str">
        <x:v>Yes</x:v>
      </x:c>
      <x:c r="H63" t="str">
        <x:v>Do not present inference as measured fact.</x:v>
      </x:c>
    </x:row>
    <x:row r="64" ht="26">
      <x:c r="A64" s="36" t="str">
        <x:v>Uncertainty</x:v>
      </x:c>
      <x:c r="B64" s="15" t="str">
        <x:v>Provenance</x:v>
      </x:c>
      <x:c r="C64" s="15" t="str">
        <x:v>What remains unknown?</x:v>
      </x:c>
      <x:c r="D64" t="str">
        <x:v>Free text / confidence range</x:v>
      </x:c>
      <x:c r="E64" t="str">
        <x:v>Rough-substrate scaling not tested</x:v>
      </x:c>
      <x:c r="F64" t="str">
        <x:v>Research planning</x:v>
      </x:c>
      <x:c r="G64" t="str">
        <x:v>Recommended</x:v>
      </x:c>
      <x:c r="H64" t="str">
        <x:v>Explicit unknown is better than guess.</x:v>
      </x:c>
    </x:row>
    <x:row r="65" ht="26">
      <x:c r="A65" s="36" t="str">
        <x:v>Transfer_Rule</x:v>
      </x:c>
      <x:c r="B65" s="15" t="str">
        <x:v>Reasoning</x:v>
      </x:c>
      <x:c r="C65" s="15" t="str">
        <x:v>What engineering-neutral rule is extracted?</x:v>
      </x:c>
      <x:c r="D65" t="str">
        <x:v>One causal rule sentence</x:v>
      </x:c>
      <x:c r="E65" t="str">
        <x:v>Manage the liquid layer before increasing surface chemistry</x:v>
      </x:c>
      <x:c r="F65" t="str">
        <x:v>Concept generation</x:v>
      </x:c>
      <x:c r="G65" t="str">
        <x:v>Yes</x:v>
      </x:c>
      <x:c r="H65" t="str">
        <x:v>Avoid copying organism geometry without function.</x:v>
      </x:c>
    </x:row>
    <x:row r="66">
      <x:c r="A66" s="36" t="str">
        <x:v>Rejection_Criteria</x:v>
      </x:c>
      <x:c r="B66" s="15" t="str">
        <x:v>Reasoning</x:v>
      </x:c>
      <x:c r="C66" s="15" t="str">
        <x:v>When should this analogy be rejected?</x:v>
      </x:c>
      <x:c r="D66" t="str">
        <x:v>Constraint sentence</x:v>
      </x:c>
      <x:c r="E66" t="str">
        <x:v>Reject suction if a reliable perimeter seal cannot form</x:v>
      </x:c>
      <x:c r="F66" t="str">
        <x:v>Safety/feasibility</x:v>
      </x:c>
      <x:c r="G66" t="str">
        <x:v>Yes</x:v>
      </x:c>
      <x:c r="H66" t="str">
        <x:v>First-class negative knowledge.</x:v>
      </x:c>
    </x:row>
  </x:sheetData>
  <x:mergeCells>
    <x:mergeCell ref="A1:H1"/>
    <x:mergeCell ref="A2:H2"/>
    <x:mergeCell ref="A54:H54"/>
  </x:mergeCells>
  <x:pageMargins left="0.7" right="0.7" top="0.75" bottom="0.75" header="0.3" footer="0.3"/>
  <x:tableParts count="1">
    <x:tablePart xmlns:r="http://schemas.openxmlformats.org/officeDocument/2006/relationships" r:id="R43ccb4265590406a"/>
  </x:tableParts>
</x:worksheet>
</file>

<file path=xl/worksheets/sheet4.xml><?xml version="1.0" encoding="utf-8"?>
<x:worksheet xmlns:x="http://schemas.openxmlformats.org/spreadsheetml/2006/main">
  <x:sheetFormatPr defaultColWidth="8.6328125" defaultRowHeight="14.5"/>
  <x:cols>
    <x:col min="1" max="2" width="28" style="12" customWidth="1"/>
    <x:col min="3" max="3" width="34" style="12" customWidth="1"/>
    <x:col min="4" max="5" width="36" style="12" customWidth="1"/>
    <x:col min="6" max="6" width="24" style="12" customWidth="1"/>
    <x:col min="7" max="7" width="12" style="12" customWidth="1"/>
    <x:col min="8" max="8" width="4" style="12" customWidth="1"/>
    <x:col min="9" max="9" width="25" style="12" customWidth="1"/>
    <x:col min="10" max="10" width="10" style="12" customWidth="1"/>
  </x:cols>
  <x:sheetData>
    <x:row r="1" ht="42">
      <x:c r="A1" s="35" t="str">
        <x:v>Nature Adhesion — organism-centric legacy map</x:v>
      </x:c>
      <x:c r="B1" s="35"/>
      <x:c r="C1" s="35"/>
      <x:c r="D1" s="35"/>
      <x:c r="E1" s="35"/>
      <x:c r="F1" s="35"/>
      <x:c r="G1" s="35"/>
      <x:c r="H1" s="35"/>
      <x:c r="I1" s="35"/>
      <x:c r="J1" s="35"/>
    </x:row>
    <x:row r="2" ht="72.5">
      <x:c r="A2" s="19" t="str">
        <x:v>This sheet is intentionally secondary. Organisms are useful entry points, but the engine should reason through the 15 mechanisms in Adhesion Strategies rather than retrieve by organism label alone.</x:v>
      </x:c>
      <x:c r="B2" s="19"/>
      <x:c r="C2" s="19"/>
      <x:c r="D2" s="19"/>
      <x:c r="E2" s="19"/>
      <x:c r="F2" s="19"/>
      <x:c r="G2" s="19"/>
      <x:c r="H2" s="19"/>
      <x:c r="I2" s="19"/>
      <x:c r="J2" s="19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</x:row>
    <x:row r="4">
      <x:c r="A4" s="19" t="str">
        <x:v>Legacy family</x:v>
      </x:c>
      <x:c r="B4" s="19" t="str">
        <x:v>Biological analogs</x:v>
      </x:c>
      <x:c r="C4" s="19" t="str">
        <x:v>What nature solves</x:v>
      </x:c>
      <x:c r="D4" s="19" t="str">
        <x:v>Abstracted design principle</x:v>
      </x:c>
      <x:c r="E4" s="19" t="str">
        <x:v>Typical engineering translation</x:v>
      </x:c>
      <x:c r="F4" s="19" t="str">
        <x:v>Typical triggers</x:v>
      </x:c>
      <x:c r="G4" s="19" t="str">
        <x:v>Primary NA strategies</x:v>
      </x:c>
      <x:c r="H4" s="19" t="str">
        <x:v>Operating environment</x:v>
      </x:c>
      <x:c r="I4" s="19" t="str">
        <x:v>Main limitation</x:v>
      </x:c>
      <x:c r="J4" s="19" t="str">
        <x:v>Anchor evidence</x:v>
      </x:c>
    </x:row>
    <x:row r="5" ht="43.5">
      <x:c r="A5" s="19" t="str">
        <x:v>Gecko-style dry fibrillar adhesion</x:v>
      </x:c>
      <x:c r="B5" s="19" t="str">
        <x:v>Gecko; spider; beetle</x:v>
      </x:c>
      <x:c r="C5" s="19" t="str">
        <x:v>Reusable residue-free dry grip</x:v>
      </x:c>
      <x:c r="D5" s="19" t="str">
        <x:v>Contact splitting + hierarchy + directional engagement</x:v>
      </x:c>
      <x:c r="E5" s="19" t="str">
        <x:v>Fibrillar/mushroom/CNT dry adhesives</x:v>
      </x:c>
      <x:c r="F5" s="19" t="str">
        <x:v>Preload/shear</x:v>
      </x:c>
      <x:c r="G5" s="19" t="str">
        <x:v>NA01,NA02,NA03,NA04</x:v>
      </x:c>
      <x:c r="H5" s="19" t="str">
        <x:v>Dry smooth/rough surfaces</x:v>
      </x:c>
      <x:c r="I5" s="19" t="str">
        <x:v>Strong on clean surfaces; contamination/roughness limit</x:v>
      </x:c>
      <x:c r="J5" s="19" t="str">
        <x:v>Foundational gecko literature</x:v>
      </x:c>
    </x:row>
    <x:row r="6" ht="43.5">
      <x:c r="A6" s="19" t="str">
        <x:v>Mussel-style wet molecular adhesion</x:v>
      </x:c>
      <x:c r="B6" s="19" t="str">
        <x:v>Mussel foot proteins</x:v>
      </x:c>
      <x:c r="C6" s="19" t="str">
        <x:v>Bond through water to diverse surfaces</x:v>
      </x:c>
      <x:c r="D6" s="19" t="str">
        <x:v>Catechol/multidentate anchoring + cohesion</x:v>
      </x:c>
      <x:c r="E6" s="19" t="str">
        <x:v>Wet glues, tissue adhesives, coatings</x:v>
      </x:c>
      <x:c r="F6" s="19" t="str">
        <x:v>Contact/pH/ions</x:v>
      </x:c>
      <x:c r="G6" s="19" t="str">
        <x:v>NA06,NA08,NA15</x:v>
      </x:c>
      <x:c r="H6" s="19" t="str">
        <x:v>Wet/underwater/tissue</x:v>
      </x:c>
      <x:c r="I6" s="19" t="str">
        <x:v>Strong chemistry but curing can reduce reversibility</x:v>
      </x:c>
      <x:c r="J6" s="19" t="str">
        <x:v>Mussel papers</x:v>
      </x:c>
    </x:row>
    <x:row r="7" ht="58">
      <x:c r="A7" s="19" t="str">
        <x:v>Octopus / suction adhesion</x:v>
      </x:c>
      <x:c r="B7" s="19" t="str">
        <x:v>Octopus; clingfish; remora</x:v>
      </x:c>
      <x:c r="C7" s="19" t="str">
        <x:v>Reversible wet attachment by pressure differential</x:v>
      </x:c>
      <x:c r="D7" s="19" t="str">
        <x:v>Compliant sealing + pressure control + friction</x:v>
      </x:c>
      <x:c r="E7" s="19" t="str">
        <x:v>Suction cup arrays, soft grippers</x:v>
      </x:c>
      <x:c r="F7" s="19" t="str">
        <x:v>Deformation/actuation</x:v>
      </x:c>
      <x:c r="G7" s="19" t="str">
        <x:v>NA10,NA15,NA13</x:v>
      </x:c>
      <x:c r="H7" s="19" t="str">
        <x:v>Wet/underwater/curved</x:v>
      </x:c>
      <x:c r="I7" s="19" t="str">
        <x:v>Seal integrity is critical</x:v>
      </x:c>
      <x:c r="J7" s="19" t="str">
        <x:v>Octopus/clingfish papers</x:v>
      </x:c>
    </x:row>
    <x:row r="8" ht="43.5">
      <x:c r="A8" s="19" t="str">
        <x:v>Frog-style wet friction</x:v>
      </x:c>
      <x:c r="B8" s="19" t="str">
        <x:v>Tree frog; torrent frog</x:v>
      </x:c>
      <x:c r="C8" s="19" t="str">
        <x:v>Grip wet/flooded surfaces without hydroplaning</x:v>
      </x:c>
      <x:c r="D8" s="19" t="str">
        <x:v>Drainage channels + edge density + compliant contact</x:v>
      </x:c>
      <x:c r="E8" s="19" t="str">
        <x:v>Wet patches, robotic pads</x:v>
      </x:c>
      <x:c r="F8" s="19" t="str">
        <x:v>Wet contact</x:v>
      </x:c>
      <x:c r="G8" s="19" t="str">
        <x:v>NA10,NA04,NA14</x:v>
      </x:c>
      <x:c r="H8" s="19" t="str">
        <x:v>Wet/flooded</x:v>
      </x:c>
      <x:c r="I8" s="19" t="str">
        <x:v>Fluid viscosity/flow/roughness matter</x:v>
      </x:c>
      <x:c r="J8" s="19" t="str">
        <x:v>Frog literature</x:v>
      </x:c>
    </x:row>
    <x:row r="9" ht="43.5">
      <x:c r="A9" s="19" t="str">
        <x:v>Mechanical interlocking</x:v>
      </x:c>
      <x:c r="B9" s="19" t="str">
        <x:v>Porcupine; parasites</x:v>
      </x:c>
      <x:c r="C9" s="19" t="str">
        <x:v>High retention in soft substrate</x:v>
      </x:c>
      <x:c r="D9" s="19" t="str">
        <x:v>Barbs, hooks, post-placement expansion</x:v>
      </x:c>
      <x:c r="E9" s="19" t="str">
        <x:v>Microneedles, tissue anchors</x:v>
      </x:c>
      <x:c r="F9" s="19" t="str">
        <x:v>Insertion / swelling</x:v>
      </x:c>
      <x:c r="G9" s="19" t="str">
        <x:v>NA11,NA12</x:v>
      </x:c>
      <x:c r="H9" s="19" t="str">
        <x:v>Soft tissue</x:v>
      </x:c>
      <x:c r="I9" s="19" t="str">
        <x:v>Invasive; damage must be managed</x:v>
      </x:c>
      <x:c r="J9" s="19" t="str">
        <x:v>Porcupine/worm papers</x:v>
      </x:c>
    </x:row>
    <x:row r="10" ht="58">
      <x:c r="A10" s="19" t="str">
        <x:v>State-switching reversible adhesion</x:v>
      </x:c>
      <x:c r="B10" s="19" t="str">
        <x:v>Snail epiphragm; responsive octopus/mussel systems</x:v>
      </x:c>
      <x:c r="C10" s="19" t="str">
        <x:v>High hold + easy release</x:v>
      </x:c>
      <x:c r="D10" s="19" t="str">
        <x:v>Soft→stiff, geometry change, pressure switch or molecular trigger</x:v>
      </x:c>
      <x:c r="E10" s="19" t="str">
        <x:v>Repositionable assembly, smart patches</x:v>
      </x:c>
      <x:c r="F10" s="19" t="str">
        <x:v>Water/heat/magnetic/shear</x:v>
      </x:c>
      <x:c r="G10" s="19" t="str">
        <x:v>NA15</x:v>
      </x:c>
      <x:c r="H10" s="19" t="str">
        <x:v>Dry/wet depending design</x:v>
      </x:c>
      <x:c r="I10" s="19" t="str">
        <x:v>Trigger speed and false activation</x:v>
      </x:c>
      <x:c r="J10" s="19" t="str">
        <x:v>Snail + smart adhesive papers</x:v>
      </x:c>
    </x:row>
    <x:row r="11" ht="72.5">
      <x:c r="A11" s="19" t="str">
        <x:v>Environmental / rate-adaptive liquid adhesion</x:v>
      </x:c>
      <x:c r="B11" s="19" t="str">
        <x:v>Bee pollen; spider glue</x:v>
      </x:c>
      <x:c r="C11" s="19" t="str">
        <x:v>Keep attachment across RH and motion</x:v>
      </x:c>
      <x:c r="D11" s="19" t="str">
        <x:v>Viscous dissipation + humidity buffering</x:v>
      </x:c>
      <x:c r="E11" s="19" t="str">
        <x:v>Adaptive PSA, particle handling</x:v>
      </x:c>
      <x:c r="F11" s="19" t="str">
        <x:v>Humidity/separation rate</x:v>
      </x:c>
      <x:c r="G11" s="19" t="str">
        <x:v>NA14,NA10</x:v>
      </x:c>
      <x:c r="H11" s="19" t="str">
        <x:v>Variable humidity</x:v>
      </x:c>
      <x:c r="I11" s="19" t="str">
        <x:v>Narrow optimum if not buffered</x:v>
      </x:c>
      <x:c r="J11" s="19" t="str">
        <x:v>Bee pollen 2019</x:v>
      </x:c>
    </x:row>
    <x:row r="12" ht="58">
      <x:c r="A12" s="19" t="str">
        <x:v>Hybrid structural + chemical adhesion</x:v>
      </x:c>
      <x:c r="B12" s="19" t="str">
        <x:v>Mussel+gecko; protein-coated suction patches</x:v>
      </x:c>
      <x:c r="C12" s="19" t="str">
        <x:v>Work across dry/wet or complex surfaces</x:v>
      </x:c>
      <x:c r="D12" s="19" t="str">
        <x:v>Geometry makes contact; chemistry strengthens interface</x:v>
      </x:c>
      <x:c r="E12" s="19" t="str">
        <x:v>Hybrid robot feet, tissue devices</x:v>
      </x:c>
      <x:c r="F12" s="19" t="str">
        <x:v>Contact/environment</x:v>
      </x:c>
      <x:c r="G12" s="19" t="str">
        <x:v>NA07,NA06,NA10</x:v>
      </x:c>
      <x:c r="H12" s="19" t="str">
        <x:v>Dry↔wet</x:v>
      </x:c>
      <x:c r="I12" s="19" t="str">
        <x:v>Integration complexity</x:v>
      </x:c>
      <x:c r="J12" s="19" t="str">
        <x:v>Geckel + hybrid papers</x:v>
      </x:c>
    </x:row>
    <x:row r="13" ht="43.5">
      <x:c r="A13" s="19" t="str">
        <x:v>Crack-/failure-controlled interfaces</x:v>
      </x:c>
      <x:c r="B13" s="19" t="str">
        <x:v>Fibrillar biological pads</x:v>
      </x:c>
      <x:c r="C13" s="19" t="str">
        <x:v>Prevent catastrophic detachment</x:v>
      </x:c>
      <x:c r="D13" s="19" t="str">
        <x:v>Crack trapping, film termination, distributed failure</x:v>
      </x:c>
      <x:c r="E13" s="19" t="str">
        <x:v>Fault-tolerant adhesive tapes</x:v>
      </x:c>
      <x:c r="F13" s="19" t="str">
        <x:v>Load</x:v>
      </x:c>
      <x:c r="G13" s="19" t="str">
        <x:v>NA05,NA04</x:v>
      </x:c>
      <x:c r="H13" s="19" t="str">
        <x:v>Large interfaces / flaws</x:v>
      </x:c>
      <x:c r="I13" s="19" t="str">
        <x:v>Can raise release energy</x:v>
      </x:c>
      <x:c r="J13" s="19" t="str">
        <x:v>Glassmaker + hydrogel tape work</x:v>
      </x:c>
    </x:row>
    <x:row r="14" ht="58">
      <x:c r="A14" s="19" t="str">
        <x:v>System-coordinated multi-pad adhesion</x:v>
      </x:c>
      <x:c r="B14" s="19" t="str">
        <x:v>Spider legs; gecko digits</x:v>
      </x:c>
      <x:c r="C14" s="19" t="str">
        <x:v>Stabilize whole body while moving</x:v>
      </x:c>
      <x:c r="D14" s="19" t="str">
        <x:v>Antagonistic loading + orientation + load sharing</x:v>
      </x:c>
      <x:c r="E14" s="19" t="str">
        <x:v>Multi-finger grippers, climbing robots</x:v>
      </x:c>
      <x:c r="F14" s="19" t="str">
        <x:v>Posture/load vector</x:v>
      </x:c>
      <x:c r="G14" s="19" t="str">
        <x:v>NA13,NA03,NA04</x:v>
      </x:c>
      <x:c r="H14" s="19" t="str">
        <x:v>Dynamic loads</x:v>
      </x:c>
      <x:c r="I14" s="19" t="str">
        <x:v>Requires sensing/control or robust mechanics</x:v>
      </x:c>
      <x:c r="J14" s="19" t="str">
        <x:v>Spider/gecko system studies</x:v>
      </x:c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</x:row>
    <x:row r="17" ht="43.5">
      <x:c r="A17" s="19" t="str">
        <x:v>Why this is a legacy view</x:v>
      </x:c>
      <x:c r="B17" s="19"/>
      <x:c r="C17" s="19"/>
      <x:c r="D17" s="19"/>
      <x:c r="E17" s="19"/>
      <x:c r="F17" s="19"/>
      <x:c r="G17" s="19"/>
      <x:c r="H17" s="19"/>
      <x:c r="I17" s="19"/>
      <x:c r="J17" s="19"/>
    </x:row>
    <x:row r="18">
      <x:c r="A18" s="19" t="str">
        <x:v>Organism names hide mechanism overlap</x:v>
      </x:c>
      <x:c r="B18" s="19" t="str">
        <x:v>Gecko, spider and beetle can all use fibrillar contact but differ in system coordination and environmental adaptation.</x:v>
      </x:c>
      <x:c r="C18" s="19"/>
      <x:c r="D18" s="19"/>
      <x:c r="E18" s="19"/>
      <x:c r="F18" s="19"/>
      <x:c r="G18" s="19"/>
      <x:c r="H18" s="19"/>
      <x:c r="I18" s="19"/>
      <x:c r="J18" s="19"/>
    </x:row>
    <x:row r="19" ht="58">
      <x:c r="A19" s="19" t="str">
        <x:v>One organism can contain several strategies</x:v>
      </x:c>
      <x:c r="B19" s="19" t="str">
        <x:v>Octopus combines compliance, seal formation, pressure differential, actuation and sensing.</x:v>
      </x:c>
      <x:c r="C19" s="19"/>
      <x:c r="D19" s="19"/>
      <x:c r="E19" s="19"/>
      <x:c r="F19" s="19"/>
      <x:c r="G19" s="19"/>
      <x:c r="H19" s="19"/>
      <x:c r="I19" s="19"/>
      <x:c r="J19" s="19"/>
    </x:row>
    <x:row r="20" ht="43.5">
      <x:c r="A20" s="19" t="str">
        <x:v>Different organisms can solve the same engineering problem differently</x:v>
      </x:c>
      <x:c r="B20" s="19" t="str">
        <x:v>Underwater attachment can be achieved by mussel chemistry, beetle dewetting or suction/friction systems.</x:v>
      </x:c>
      <x:c r="C20" s="19"/>
      <x:c r="D20" s="19"/>
      <x:c r="E20" s="19"/>
      <x:c r="F20" s="19"/>
      <x:c r="G20" s="19"/>
      <x:c r="H20" s="19"/>
      <x:c r="I20" s="19"/>
      <x:c r="J20" s="19"/>
    </x:row>
    <x:row r="21" ht="43.5">
      <x:c r="A21" s="19" t="str">
        <x:v>Use this sheet for discovery, not final ranking</x:v>
      </x:c>
      <x:c r="B21" s="19" t="str">
        <x:v>Final retrieval should pass through Challenge→Strategy and Evaluation Metrics.</x:v>
      </x:c>
      <x:c r="C21" s="19"/>
      <x:c r="D21" s="19"/>
      <x:c r="E21" s="19"/>
      <x:c r="F21" s="19"/>
      <x:c r="G21" s="19"/>
      <x:c r="H21" s="19"/>
      <x:c r="I21" s="19"/>
      <x:c r="J21" s="19"/>
    </x:row>
    <x:row r="22" ht="29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</x:row>
    <x:row r="23" ht="43.5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</x:row>
    <x:row r="24" ht="29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</x:row>
    <x:row r="25" ht="29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</x:row>
    <x:row r="26" ht="43.5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8.6328125" defaultRowHeight="14.5"/>
  <x:cols>
    <x:col min="1" max="1" width="11" style="12" customWidth="1"/>
    <x:col min="2" max="2" width="9" style="12" customWidth="1"/>
    <x:col min="3" max="3" width="48" style="12" customWidth="1"/>
    <x:col min="4" max="4" width="30" style="12" customWidth="1"/>
    <x:col min="5" max="6" width="16" style="12" customWidth="1"/>
    <x:col min="7" max="8" width="24" style="12" customWidth="1"/>
    <x:col min="9" max="9" width="18" style="12" customWidth="1"/>
    <x:col min="10" max="10" width="44" style="12" customWidth="1"/>
  </x:cols>
  <x:sheetData>
    <x:row r="1" ht="19.399999618530273" customHeight="1">
      <x:c r="A1" s="4" t="str">
        <x:v>Mapping of the 50-paper evidence base into the Nature Adhesion Ontology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15" customHeight="1">
      <x:c r="A2" s="5" t="str">
        <x:v>This taxonomy layer assigns each paper to the 15 primary adhesion strategies while preserving the biological model, attachment phase, trigger, repeatability and validated source.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29">
      <x:c r="A4" s="14" t="str">
        <x:v>Paper ID</x:v>
      </x:c>
      <x:c r="B4" s="14" t="str">
        <x:v>Year</x:v>
      </x:c>
      <x:c r="C4" s="14" t="str">
        <x:v>Title</x:v>
      </x:c>
      <x:c r="D4" s="14" t="str">
        <x:v>Biological model</x:v>
      </x:c>
      <x:c r="E4" s="14" t="str">
        <x:v>Ontology primary</x:v>
      </x:c>
      <x:c r="F4" s="14" t="str">
        <x:v>Ontology secondary</x:v>
      </x:c>
      <x:c r="G4" s="14" t="str">
        <x:v>Attachment phase</x:v>
      </x:c>
      <x:c r="H4" s="14" t="str">
        <x:v>Trigger</x:v>
      </x:c>
      <x:c r="I4" s="14" t="str">
        <x:v>Repeatability</x:v>
      </x:c>
      <x:c r="J4" s="14" t="str">
        <x:v>Validated source</x:v>
      </x:c>
    </x:row>
    <x:row r="5" ht="26">
      <x:c r="A5" s="36" t="str">
        <x:v>A01</x:v>
      </x:c>
      <x:c r="B5" s="15" t="n">
        <x:v>2020</x:v>
      </x:c>
      <x:c r="C5" s="15" t="str">
        <x:v>Molecular design principles of Lysine-DOPA wet adhesion</x:v>
      </x:c>
      <x:c r="D5" s="15" t="str">
        <x:v>Mussel foot proteins / DOPA+lysine</x:v>
      </x:c>
      <x:c r="E5" s="15" t="str">
        <x:v>NA06</x:v>
      </x:c>
      <x:c r="F5" s="15" t="str">
        <x:v>NA07</x:v>
      </x:c>
      <x:c r="G5" s="15" t="str">
        <x:v>3 Engage / 4 Hold</x:v>
      </x:c>
      <x:c r="H5" s="15" t="str">
        <x:v>Contact / aqueous environment</x:v>
      </x:c>
      <x:c r="I5" s="15" t="str">
        <x:v>Repeatable at bond level</x:v>
      </x:c>
      <x:c r="J5" s="15" t="str">
        <x:v>https://www.nature.com/articles/s41467-020-17597-4</x:v>
      </x:c>
    </x:row>
    <x:row r="6" ht="26">
      <x:c r="A6" s="36" t="str">
        <x:v>A02</x:v>
      </x:c>
      <x:c r="B6" s="15" t="n">
        <x:v>2020</x:v>
      </x:c>
      <x:c r="C6" s="15" t="str">
        <x:v>Tree Frog-Inspired Micropillar Arrays with Nanopits on the Surface for Enhanced Adhesion under Wet Conditions</x:v>
      </x:c>
      <x:c r="D6" s="15" t="str">
        <x:v>Tree frog toe pad</x:v>
      </x:c>
      <x:c r="E6" s="15" t="str">
        <x:v>NA10</x:v>
      </x:c>
      <x:c r="F6" s="15" t="str">
        <x:v>NA04</x:v>
      </x:c>
      <x:c r="G6" s="15" t="str">
        <x:v>2 Conform / 3 Engage / 4 Hold</x:v>
      </x:c>
      <x:c r="H6" s="15" t="str">
        <x:v>Wet contact</x:v>
      </x:c>
      <x:c r="I6" s="15" t="str">
        <x:v>Repeatable</x:v>
      </x:c>
      <x:c r="J6" s="15" t="str">
        <x:v>https://pubs.acs.org/doi/10.1021/acsami.9b22532</x:v>
      </x:c>
    </x:row>
    <x:row r="7" ht="39">
      <x:c r="A7" s="36" t="str">
        <x:v>A03</x:v>
      </x:c>
      <x:c r="B7" s="15" t="n">
        <x:v>2020</x:v>
      </x:c>
      <x:c r="C7" s="15" t="str">
        <x:v>Functionally Graded Gecko Setae and the Biomimics with Robust Adhesion and Durability</x:v>
      </x:c>
      <x:c r="D7" s="15" t="str">
        <x:v>Gecko setae</x:v>
      </x:c>
      <x:c r="E7" s="15" t="str">
        <x:v>NA04</x:v>
      </x:c>
      <x:c r="F7" s="15" t="str">
        <x:v>NA02</x:v>
      </x:c>
      <x:c r="G7" s="15" t="str">
        <x:v>2 Conform / 4 Hold</x:v>
      </x:c>
      <x:c r="H7" s="15" t="str">
        <x:v>Preload / shear</x:v>
      </x:c>
      <x:c r="I7" s="15" t="str">
        <x:v>Repeatable</x:v>
      </x:c>
      <x:c r="J7" s="15" t="str">
        <x:v>https://pubs.acs.org/doi/10.1021/acsapm.0c00282</x:v>
      </x:c>
    </x:row>
    <x:row r="8" ht="26">
      <x:c r="A8" s="36" t="str">
        <x:v>A04</x:v>
      </x:c>
      <x:c r="B8" s="15" t="n">
        <x:v>2020</x:v>
      </x:c>
      <x:c r="C8" s="15" t="str">
        <x:v>Switchable Adhesion for Nonflat Surfaces Mimicking Geckos' Adhesive Structures and Toe Muscles</x:v>
      </x:c>
      <x:c r="D8" s="15" t="str">
        <x:v>Gecko setae + toe muscles</x:v>
      </x:c>
      <x:c r="E8" s="15" t="str">
        <x:v>NA15</x:v>
      </x:c>
      <x:c r="F8" s="15" t="str">
        <x:v>NA03</x:v>
      </x:c>
      <x:c r="G8" s="15" t="str">
        <x:v>3 Engage / 4 Hold / 5 Release-Reset</x:v>
      </x:c>
      <x:c r="H8" s="15" t="str">
        <x:v>Mechanical actuation</x:v>
      </x:c>
      <x:c r="I8" s="15" t="str">
        <x:v>Repeatable</x:v>
      </x:c>
      <x:c r="J8" s="15" t="str">
        <x:v>https://pubs.acs.org/doi/10.1021/acsami.0c08686</x:v>
      </x:c>
    </x:row>
    <x:row r="9" ht="26">
      <x:c r="A9" s="36" t="str">
        <x:v>A05</x:v>
      </x:c>
      <x:c r="B9" s="15" t="n">
        <x:v>2020</x:v>
      </x:c>
      <x:c r="C9" s="15" t="str">
        <x:v>Toward Bioinspired Wet Adhesives: Lessons from Assessing Surface Structures of the Suction Disc of Intertidal Clingfish</x:v>
      </x:c>
      <x:c r="D9" s="15" t="str">
        <x:v>Clingfish suction disc</x:v>
      </x:c>
      <x:c r="E9" s="15" t="str">
        <x:v>NA10</x:v>
      </x:c>
      <x:c r="F9" s="15" t="str">
        <x:v>NA04</x:v>
      </x:c>
      <x:c r="G9" s="15" t="str">
        <x:v>2 Conform / 3 Engage / 4 Hold</x:v>
      </x:c>
      <x:c r="H9" s="15" t="str">
        <x:v>Contact / pressure</x:v>
      </x:c>
      <x:c r="I9" s="15" t="str">
        <x:v>Repeatable</x:v>
      </x:c>
      <x:c r="J9" s="15" t="str">
        <x:v>https://pubs.acs.org/doi/10.1021/acsami.0c10749</x:v>
      </x:c>
    </x:row>
    <x:row r="10" ht="39">
      <x:c r="A10" s="36" t="str">
        <x:v>A06</x:v>
      </x:c>
      <x:c r="B10" s="15" t="n">
        <x:v>2020</x:v>
      </x:c>
      <x:c r="C10" s="15" t="str">
        <x:v>A protein-coated micro-sucker patch inspired by octopus for adhesion in wet conditions</x:v>
      </x:c>
      <x:c r="D10" s="15" t="str">
        <x:v>Octopus sucker + protein coating</x:v>
      </x:c>
      <x:c r="E10" s="15" t="str">
        <x:v>NA07</x:v>
      </x:c>
      <x:c r="F10" s="15" t="str">
        <x:v>NA10</x:v>
      </x:c>
      <x:c r="G10" s="15" t="str">
        <x:v>2 Conform / 3 Engage / 4 Hold</x:v>
      </x:c>
      <x:c r="H10" s="15" t="str">
        <x:v>Wet contact</x:v>
      </x:c>
      <x:c r="I10" s="15" t="str">
        <x:v>Repeatable</x:v>
      </x:c>
      <x:c r="J10" s="15" t="str">
        <x:v>https://www.nature.com/articles/s41598-020-72493-7</x:v>
      </x:c>
    </x:row>
    <x:row r="11" ht="26">
      <x:c r="A11" s="36" t="str">
        <x:v>A07</x:v>
      </x:c>
      <x:c r="B11" s="15" t="n">
        <x:v>2020</x:v>
      </x:c>
      <x:c r="C11" s="15" t="str">
        <x:v>Mussel-Inspired Naturally Derived Double-Network Hydrogels and Their Application in 3D Printing: From Soft, Injectable Bioadhesives to Mechanically Strong Hydrogels</x:v>
      </x:c>
      <x:c r="D11" s="15" t="str">
        <x:v>Mussel adhesion</x:v>
      </x:c>
      <x:c r="E11" s="15" t="str">
        <x:v>NA06</x:v>
      </x:c>
      <x:c r="F11" s="15" t="str">
        <x:v>NA15</x:v>
      </x:c>
      <x:c r="G11" s="15" t="str">
        <x:v>3 Engage / 4 Hold</x:v>
      </x:c>
      <x:c r="H11" s="15" t="str">
        <x:v>Contact + ionic/covalent crosslinking</x:v>
      </x:c>
      <x:c r="I11" s="15" t="str">
        <x:v>Limited/repeatable depending network</x:v>
      </x:c>
      <x:c r="J11" s="15" t="str">
        <x:v>https://pubs.acs.org/doi/10.1021/acsbiomaterials.9b01864</x:v>
      </x:c>
    </x:row>
    <x:row r="12" ht="39">
      <x:c r="A12" s="36" t="str">
        <x:v>A08</x:v>
      </x:c>
      <x:c r="B12" s="15" t="n">
        <x:v>2020</x:v>
      </x:c>
      <x:c r="C12" s="15" t="str">
        <x:v>Humidity-Modulated Core–Shell Nanopillars for Enhancement of Gecko-Inspired Adhesion</x:v>
      </x:c>
      <x:c r="D12" s="15" t="str">
        <x:v>Gecko / humidity response</x:v>
      </x:c>
      <x:c r="E12" s="15" t="str">
        <x:v>NA14</x:v>
      </x:c>
      <x:c r="F12" s="15" t="str">
        <x:v>NA04</x:v>
      </x:c>
      <x:c r="G12" s="15" t="str">
        <x:v>3 Engage / 4 Hold / 5 Reset</x:v>
      </x:c>
      <x:c r="H12" s="15" t="str">
        <x:v>Humidity</x:v>
      </x:c>
      <x:c r="I12" s="15" t="str">
        <x:v>Repeatable</x:v>
      </x:c>
      <x:c r="J12" s="15" t="str">
        <x:v>https://pubs.acs.org/doi/10.1021/acsanm.0c00314</x:v>
      </x:c>
    </x:row>
    <x:row r="13" ht="26">
      <x:c r="A13" s="36" t="str">
        <x:v>A09</x:v>
      </x:c>
      <x:c r="B13" s="15" t="n">
        <x:v>2020</x:v>
      </x:c>
      <x:c r="C13" s="15" t="str">
        <x:v>Bioinspired Multiscale Wet Adhesive Surfaces: Structures and Controlled Adhesion</x:v>
      </x:c>
      <x:c r="D13" s="15" t="str">
        <x:v>Multiple wet-adhesion organisms</x:v>
      </x:c>
      <x:c r="E13" s="15" t="str">
        <x:v>NA10</x:v>
      </x:c>
      <x:c r="F13" s="15" t="str">
        <x:v>NA07</x:v>
      </x:c>
      <x:c r="G13" s="15" t="str">
        <x:v>2 Conform / 3 Engage / 4 Hold</x:v>
      </x:c>
      <x:c r="H13" s="15" t="str">
        <x:v>n/a</x:v>
      </x:c>
      <x:c r="I13" s="15" t="str">
        <x:v>n/a</x:v>
      </x:c>
      <x:c r="J13" s="15" t="str">
        <x:v>https://advanced.onlinelibrary.wiley.com/doi/10.1002/adfm.201905287</x:v>
      </x:c>
    </x:row>
    <x:row r="14" ht="39">
      <x:c r="A14" s="36" t="str">
        <x:v>A10</x:v>
      </x:c>
      <x:c r="B14" s="15" t="n">
        <x:v>2020</x:v>
      </x:c>
      <x:c r="C14" s="15" t="str">
        <x:v>Design of Tree-Frog-Inspired Adhesives</x:v>
      </x:c>
      <x:c r="D14" s="15" t="str">
        <x:v>Tree frog toe pad</x:v>
      </x:c>
      <x:c r="E14" s="15" t="str">
        <x:v>NA10</x:v>
      </x:c>
      <x:c r="F14" s="15" t="str">
        <x:v>NA04</x:v>
      </x:c>
      <x:c r="G14" s="15" t="str">
        <x:v>2 Conform / 3 Engage / 4 Hold</x:v>
      </x:c>
      <x:c r="H14" s="15" t="str">
        <x:v>n/a</x:v>
      </x:c>
      <x:c r="I14" s="15" t="str">
        <x:v>n/a</x:v>
      </x:c>
      <x:c r="J14" s="15" t="str">
        <x:v>https://academic.oup.com/icb/article/60/4/906/5837677</x:v>
      </x:c>
    </x:row>
    <x:row r="15" ht="26">
      <x:c r="A15" s="36" t="str">
        <x:v>A11</x:v>
      </x:c>
      <x:c r="B15" s="15" t="n">
        <x:v>2021</x:v>
      </x:c>
      <x:c r="C15" s="15" t="str">
        <x:v>A mussel-inspired film for adhesion to wet buccal tissue and efficient buccal drug delivery</x:v>
      </x:c>
      <x:c r="D15" s="15" t="str">
        <x:v>Mussel DOPA chemistry</x:v>
      </x:c>
      <x:c r="E15" s="15" t="str">
        <x:v>NA06</x:v>
      </x:c>
      <x:c r="F15" s="15" t="str">
        <x:v>NA07</x:v>
      </x:c>
      <x:c r="G15" s="15" t="str">
        <x:v>3 Engage / 4 Hold</x:v>
      </x:c>
      <x:c r="H15" s="15" t="str">
        <x:v>Wet contact</x:v>
      </x:c>
      <x:c r="I15" s="15" t="str">
        <x:v>Single-use / finite</x:v>
      </x:c>
      <x:c r="J15" s="15" t="str">
        <x:v>https://www.nature.com/articles/s41467-021-21989-5</x:v>
      </x:c>
    </x:row>
    <x:row r="16" ht="26">
      <x:c r="A16" s="36" t="str">
        <x:v>A12</x:v>
      </x:c>
      <x:c r="B16" s="15" t="n">
        <x:v>2021</x:v>
      </x:c>
      <x:c r="C16" s="15" t="str">
        <x:v>Hydrogel tapes for fault-tolerant strong wet adhesion</x:v>
      </x:c>
      <x:c r="D16" s="15" t="str">
        <x:v>Mussel-inspired catechol + tough biological interfaces</x:v>
      </x:c>
      <x:c r="E16" s="15" t="str">
        <x:v>NA05</x:v>
      </x:c>
      <x:c r="F16" s="15" t="str">
        <x:v>NA06</x:v>
      </x:c>
      <x:c r="G16" s="15" t="str">
        <x:v>4 Hold / 5 Release</x:v>
      </x:c>
      <x:c r="H16" s="15" t="str">
        <x:v>Contact / time</x:v>
      </x:c>
      <x:c r="I16" s="15" t="str">
        <x:v>Limited multi-use early</x:v>
      </x:c>
      <x:c r="J16" s="15" t="str">
        <x:v>https://www.nature.com/articles/s41467-021-27529-5</x:v>
      </x:c>
    </x:row>
    <x:row r="17" ht="26">
      <x:c r="A17" s="36" t="str">
        <x:v>A13</x:v>
      </x:c>
      <x:c r="B17" s="15" t="n">
        <x:v>2021</x:v>
      </x:c>
      <x:c r="C17" s="15" t="str">
        <x:v>Ultra-strong bio-glue from genetically engineered polypeptides</x:v>
      </x:c>
      <x:c r="D17" s="15" t="str">
        <x:v>Protein/coacervate-inspired biological adhesives</x:v>
      </x:c>
      <x:c r="E17" s="15" t="str">
        <x:v>NA06</x:v>
      </x:c>
      <x:c r="F17" s="15" t="str">
        <x:v>NA08</x:v>
      </x:c>
      <x:c r="G17" s="15" t="str">
        <x:v>3 Engage / 4 Hold</x:v>
      </x:c>
      <x:c r="H17" s="15" t="str">
        <x:v>Contact / curing</x:v>
      </x:c>
      <x:c r="I17" s="15" t="str">
        <x:v>Finite</x:v>
      </x:c>
      <x:c r="J17" s="15" t="str">
        <x:v>https://www.nature.com/articles/s41467-021-23117-9</x:v>
      </x:c>
    </x:row>
    <x:row r="18" ht="26">
      <x:c r="A18" s="36" t="str">
        <x:v>A14</x:v>
      </x:c>
      <x:c r="B18" s="15" t="n">
        <x:v>2021</x:v>
      </x:c>
      <x:c r="C18" s="15" t="str">
        <x:v>Bioinspired Microsphere-Embedded Adhesive Architectures for an Electrothermally Actuating Transport Device</x:v>
      </x:c>
      <x:c r="D18" s="15" t="str">
        <x:v>Octopus sucker + muscle</x:v>
      </x:c>
      <x:c r="E18" s="15" t="str">
        <x:v>NA15</x:v>
      </x:c>
      <x:c r="F18" s="15" t="str">
        <x:v>NA10</x:v>
      </x:c>
      <x:c r="G18" s="15" t="str">
        <x:v>3 Engage / 4 Hold / 5 Release-Reset</x:v>
      </x:c>
      <x:c r="H18" s="15" t="str">
        <x:v>Electrical/thermal actuation</x:v>
      </x:c>
      <x:c r="I18" s="15" t="str">
        <x:v>Repeatable</x:v>
      </x:c>
      <x:c r="J18" s="15" t="str">
        <x:v>https://pubs.acs.org/doi/10.1021/acsami.0c21847</x:v>
      </x:c>
    </x:row>
    <x:row r="19" ht="39">
      <x:c r="A19" s="36" t="str">
        <x:v>A15</x:v>
      </x:c>
      <x:c r="B19" s="15" t="n">
        <x:v>2021</x:v>
      </x:c>
      <x:c r="C19" s="15" t="str">
        <x:v>An Electronically Perceptive Bioinspired Soft Wet-Adhesion Actuator with Carbon Nanotube-Based Strain Sensors</x:v>
      </x:c>
      <x:c r="D19" s="15" t="str">
        <x:v>Octopus sucker + sensing</x:v>
      </x:c>
      <x:c r="E19" s="15" t="str">
        <x:v>NA13</x:v>
      </x:c>
      <x:c r="F19" s="15" t="str">
        <x:v>NA15</x:v>
      </x:c>
      <x:c r="G19" s="15" t="str">
        <x:v>1 Approach / 3 Engage / 4 Hold / 5 Release</x:v>
      </x:c>
      <x:c r="H19" s="15" t="str">
        <x:v>Actuation + sensing</x:v>
      </x:c>
      <x:c r="I19" s="15" t="str">
        <x:v>Repeatable</x:v>
      </x:c>
      <x:c r="J19" s="15" t="str">
        <x:v>https://pubs.acs.org/doi/10.1021/acsnano.1c05130</x:v>
      </x:c>
    </x:row>
    <x:row r="20" ht="26">
      <x:c r="A20" s="36" t="str">
        <x:v>A16</x:v>
      </x:c>
      <x:c r="B20" s="15" t="n">
        <x:v>2021</x:v>
      </x:c>
      <x:c r="C20" s="15" t="str">
        <x:v>Elastic Energy Storage Enabled Magnetically Actuated, Octopus-Inspired Smart Adhesive</x:v>
      </x:c>
      <x:c r="D20" s="15" t="str">
        <x:v>Octopus sucker</x:v>
      </x:c>
      <x:c r="E20" s="15" t="str">
        <x:v>NA15</x:v>
      </x:c>
      <x:c r="F20" s="15" t="str">
        <x:v>NA10</x:v>
      </x:c>
      <x:c r="G20" s="15" t="str">
        <x:v>3 Engage / 4 Hold / 5 Release-Reset</x:v>
      </x:c>
      <x:c r="H20" s="15" t="str">
        <x:v>Magnetic field</x:v>
      </x:c>
      <x:c r="I20" s="15" t="str">
        <x:v>Repeatable</x:v>
      </x:c>
      <x:c r="J20" s="15" t="str">
        <x:v>https://advanced.onlinelibrary.wiley.com/doi/10.1002/adfm.202009217</x:v>
      </x:c>
    </x:row>
    <x:row r="21" ht="26">
      <x:c r="A21" s="36" t="str">
        <x:v>A17</x:v>
      </x:c>
      <x:c r="B21" s="15" t="n">
        <x:v>2021</x:v>
      </x:c>
      <x:c r="C21" s="15" t="str">
        <x:v>3D Printing of Elastomeric Bioinspired Complex Adhesive Microstructures</x:v>
      </x:c>
      <x:c r="D21" s="15" t="str">
        <x:v>Gecko + octopus + springtail</x:v>
      </x:c>
      <x:c r="E21" s="15" t="str">
        <x:v>NA07</x:v>
      </x:c>
      <x:c r="F21" s="15" t="str">
        <x:v>NA02</x:v>
      </x:c>
      <x:c r="G21" s="15" t="str">
        <x:v>2 Conform / 3 Engage / 4 Hold</x:v>
      </x:c>
      <x:c r="H21" s="15" t="str">
        <x:v>Contact</x:v>
      </x:c>
      <x:c r="I21" s="15" t="str">
        <x:v>Repeatable</x:v>
      </x:c>
      <x:c r="J21" s="15" t="str">
        <x:v>https://onlinelibrary.wiley.com/doi/10.1002/adma.202103826</x:v>
      </x:c>
    </x:row>
    <x:row r="22" ht="26">
      <x:c r="A22" s="36" t="str">
        <x:v>A18</x:v>
      </x:c>
      <x:c r="B22" s="15" t="n">
        <x:v>2021</x:v>
      </x:c>
      <x:c r="C22" s="15" t="str">
        <x:v>Tree Frog-Inspired Structured Hydrogel Adhesive with Regulated Liquid</x:v>
      </x:c>
      <x:c r="D22" s="15" t="str">
        <x:v>Tree frog toe pad + mucus</x:v>
      </x:c>
      <x:c r="E22" s="15" t="str">
        <x:v>NA10</x:v>
      </x:c>
      <x:c r="F22" s="15" t="str">
        <x:v>NA14</x:v>
      </x:c>
      <x:c r="G22" s="15" t="str">
        <x:v>2 Conform / 3 Engage / 4 Hold</x:v>
      </x:c>
      <x:c r="H22" s="15" t="str">
        <x:v>Wet contact</x:v>
      </x:c>
      <x:c r="I22" s="15" t="str">
        <x:v>Repeatable</x:v>
      </x:c>
      <x:c r="J22" s="15" t="str">
        <x:v>https://advanced.onlinelibrary.wiley.com/doi/10.1002/admi.202100528</x:v>
      </x:c>
    </x:row>
    <x:row r="23" ht="26">
      <x:c r="A23" s="36" t="str">
        <x:v>A19</x:v>
      </x:c>
      <x:c r="B23" s="15" t="n">
        <x:v>2021</x:v>
      </x:c>
      <x:c r="C23" s="15" t="str">
        <x:v>Tree frog-inspired nanopillar arrays for enhancement of adhesion and friction</x:v>
      </x:c>
      <x:c r="D23" s="15" t="str">
        <x:v>Tree frog keratin nanopillars</x:v>
      </x:c>
      <x:c r="E23" s="15" t="str">
        <x:v>NA10</x:v>
      </x:c>
      <x:c r="F23" s="15" t="str">
        <x:v>NA04</x:v>
      </x:c>
      <x:c r="G23" s="15" t="str">
        <x:v>2 Conform / 3 Engage / 4 Hold</x:v>
      </x:c>
      <x:c r="H23" s="15" t="str">
        <x:v>Contact</x:v>
      </x:c>
      <x:c r="I23" s="15" t="str">
        <x:v>Repeatable</x:v>
      </x:c>
      <x:c r="J23" s="15" t="str">
        <x:v>https://pubmed.ncbi.nlm.nih.gov/33706530/</x:v>
      </x:c>
    </x:row>
    <x:row r="24" ht="26">
      <x:c r="A24" s="36" t="str">
        <x:v>A20</x:v>
      </x:c>
      <x:c r="B24" s="15" t="n">
        <x:v>2021</x:v>
      </x:c>
      <x:c r="C24" s="15" t="str">
        <x:v>Bioinspired Self-Healable Polyallylamine-Based Hydrogels for Wet Adhesion</x:v>
      </x:c>
      <x:c r="D24" s="15" t="str">
        <x:v>Mussel foot proteins</x:v>
      </x:c>
      <x:c r="E24" s="15" t="str">
        <x:v>NA06</x:v>
      </x:c>
      <x:c r="F24" s="15" t="str">
        <x:v>NA15</x:v>
      </x:c>
      <x:c r="G24" s="15" t="str">
        <x:v>3 Engage / 4 Hold</x:v>
      </x:c>
      <x:c r="H24" s="15" t="str">
        <x:v>Contact / dynamic bonding</x:v>
      </x:c>
      <x:c r="I24" s="15" t="str">
        <x:v>Repeatable</x:v>
      </x:c>
      <x:c r="J24" s="15" t="str">
        <x:v>https://pubs.acs.org/doi/10.1021/acsami.1c02141</x:v>
      </x:c>
    </x:row>
    <x:row r="25" ht="26">
      <x:c r="A25" s="36" t="str">
        <x:v>A21</x:v>
      </x:c>
      <x:c r="B25" s="15" t="n">
        <x:v>2021</x:v>
      </x:c>
      <x:c r="C25" s="15" t="str">
        <x:v>Gecko-Like Dry Adhesive Surfaces and Their Applications: A Review</x:v>
      </x:c>
      <x:c r="D25" s="15" t="str">
        <x:v>Gecko</x:v>
      </x:c>
      <x:c r="E25" s="15" t="str">
        <x:v>NA01</x:v>
      </x:c>
      <x:c r="F25" s="15" t="str">
        <x:v>NA02</x:v>
      </x:c>
      <x:c r="G25" s="15" t="str">
        <x:v>2 Conform / 3 Engage / 4 Hold</x:v>
      </x:c>
      <x:c r="H25" s="15" t="str">
        <x:v>n/a</x:v>
      </x:c>
      <x:c r="I25" s="15" t="str">
        <x:v>n/a</x:v>
      </x:c>
      <x:c r="J25" s="15" t="str">
        <x:v>https://link.springer.com/article/10.1007/s42235-021-00088-7</x:v>
      </x:c>
    </x:row>
    <x:row r="26" ht="26">
      <x:c r="A26" s="36" t="str">
        <x:v>A22</x:v>
      </x:c>
      <x:c r="B26" s="15" t="n">
        <x:v>2022</x:v>
      </x:c>
      <x:c r="C26" s="15" t="str">
        <x:v>Hydrogen-bonds mediate liquid-liquid phase separation of mussel derived adhesive peptides</x:v>
      </x:c>
      <x:c r="D26" s="15" t="str">
        <x:v>Mussel adhesive peptides</x:v>
      </x:c>
      <x:c r="E26" s="15" t="str">
        <x:v>NA08</x:v>
      </x:c>
      <x:c r="F26" s="15" t="str">
        <x:v>NA06</x:v>
      </x:c>
      <x:c r="G26" s="15" t="str">
        <x:v>3 Engage</x:v>
      </x:c>
      <x:c r="H26" s="15" t="str">
        <x:v>Molecular environment</x:v>
      </x:c>
      <x:c r="I26" s="15" t="str">
        <x:v>Reversible phase behavior</x:v>
      </x:c>
      <x:c r="J26" s="15" t="str">
        <x:v>https://www.nature.com/articles/s41467-022-33545-w</x:v>
      </x:c>
    </x:row>
    <x:row r="27" ht="26">
      <x:c r="A27" s="36" t="str">
        <x:v>A23</x:v>
      </x:c>
      <x:c r="B27" s="15" t="n">
        <x:v>2022</x:v>
      </x:c>
      <x:c r="C27" s="15" t="str">
        <x:v>A New Concept for an Adhesive Material Inspired by Clingfish Sucker Nanofilaments</x:v>
      </x:c>
      <x:c r="D27" s="15" t="str">
        <x:v>Clingfish</x:v>
      </x:c>
      <x:c r="E27" s="15" t="str">
        <x:v>NA10</x:v>
      </x:c>
      <x:c r="F27" s="15" t="str">
        <x:v>NA04</x:v>
      </x:c>
      <x:c r="G27" s="15" t="str">
        <x:v>2 Conform / 3 Engage / 4 Hold</x:v>
      </x:c>
      <x:c r="H27" s="15" t="str">
        <x:v>Wet contact</x:v>
      </x:c>
      <x:c r="I27" s="15" t="str">
        <x:v>Repeatable</x:v>
      </x:c>
      <x:c r="J27" s="15" t="str">
        <x:v>https://pubs.acs.org/doi/10.1021/acs.langmuir.1c02972</x:v>
      </x:c>
    </x:row>
    <x:row r="28" ht="26">
      <x:c r="A28" s="36" t="str">
        <x:v>A24</x:v>
      </x:c>
      <x:c r="B28" s="15" t="n">
        <x:v>2022</x:v>
      </x:c>
      <x:c r="C28" s="15" t="str">
        <x:v>Octopus-inspired adhesive skins for intelligent and rapidly switchable underwater adhesion</x:v>
      </x:c>
      <x:c r="D28" s="15" t="str">
        <x:v>Octopus sucker + sensory control</x:v>
      </x:c>
      <x:c r="E28" s="15" t="str">
        <x:v>NA15</x:v>
      </x:c>
      <x:c r="F28" s="15" t="str">
        <x:v>NA13</x:v>
      </x:c>
      <x:c r="G28" s="15" t="str">
        <x:v>3 Engage / 4 Hold / 5 Release-Reset</x:v>
      </x:c>
      <x:c r="H28" s="15" t="str">
        <x:v>Active actuation/control</x:v>
      </x:c>
      <x:c r="I28" s="15" t="str">
        <x:v>Repeatable</x:v>
      </x:c>
      <x:c r="J28" s="15" t="str">
        <x:v>https://doi.org/10.1126/sciadv.abq1905</x:v>
      </x:c>
    </x:row>
    <x:row r="29" ht="26">
      <x:c r="A29" s="36" t="str">
        <x:v>A25</x:v>
      </x:c>
      <x:c r="B29" s="15" t="n">
        <x:v>2022</x:v>
      </x:c>
      <x:c r="C29" s="15" t="str">
        <x:v>Mussel Inspired Trigger-Detachable Adhesive Hydrogel</x:v>
      </x:c>
      <x:c r="D29" s="15" t="str">
        <x:v>Mussel</x:v>
      </x:c>
      <x:c r="E29" s="15" t="str">
        <x:v>NA15</x:v>
      </x:c>
      <x:c r="F29" s="15" t="str">
        <x:v>NA06</x:v>
      </x:c>
      <x:c r="G29" s="15" t="str">
        <x:v>3 Engage / 4 Hold / 5 Release-Reset</x:v>
      </x:c>
      <x:c r="H29" s="15" t="str">
        <x:v>Shear/trigger</x:v>
      </x:c>
      <x:c r="I29" s="15" t="str">
        <x:v>Repeatable/limited</x:v>
      </x:c>
      <x:c r="J29" s="15" t="str">
        <x:v>https://onlinelibrary.wiley.com/doi/10.1002/smll.202200336</x:v>
      </x:c>
    </x:row>
    <x:row r="30" ht="39">
      <x:c r="A30" s="36" t="str">
        <x:v>A26</x:v>
      </x:c>
      <x:c r="B30" s="15" t="n">
        <x:v>2022</x:v>
      </x:c>
      <x:c r="C30" s="15" t="str">
        <x:v>Tough Carbon Nanotube-Implanted Bioinspired Three-Dimensional Electrical Adhesive for Isotropically Stretchable Water-Repellent Bioelectronics</x:v>
      </x:c>
      <x:c r="D30" s="15" t="str">
        <x:v>Diving beetle / bioinspired adhesive structure</x:v>
      </x:c>
      <x:c r="E30" s="15" t="str">
        <x:v>NA07</x:v>
      </x:c>
      <x:c r="F30" s="15" t="str">
        <x:v>NA02</x:v>
      </x:c>
      <x:c r="G30" s="15" t="str">
        <x:v>2 Conform / 3 Engage / 4 Hold</x:v>
      </x:c>
      <x:c r="H30" s="15" t="str">
        <x:v>Contact</x:v>
      </x:c>
      <x:c r="I30" s="15" t="str">
        <x:v>Repeatable</x:v>
      </x:c>
      <x:c r="J30" s="15" t="str">
        <x:v>https://advanced.onlinelibrary.wiley.com/doi/10.1002/adfm.202107285</x:v>
      </x:c>
    </x:row>
    <x:row r="31" ht="26">
      <x:c r="A31" s="36" t="str">
        <x:v>A27</x:v>
      </x:c>
      <x:c r="B31" s="15" t="n">
        <x:v>2022</x:v>
      </x:c>
      <x:c r="C31" s="15" t="str">
        <x:v>Biomimetic Polymer Adhesives</x:v>
      </x:c>
      <x:c r="D31" s="15" t="str">
        <x:v>Gecko, mussel, octopus, tree frog</x:v>
      </x:c>
      <x:c r="E31" s="15" t="str">
        <x:v>NA07</x:v>
      </x:c>
      <x:c r="F31" s="15" t="str">
        <x:v>NA06</x:v>
      </x:c>
      <x:c r="G31" s="15" t="str">
        <x:v>2 Conform / 3 Engage / 4 Hold</x:v>
      </x:c>
      <x:c r="H31" s="15" t="str">
        <x:v>n/a</x:v>
      </x:c>
      <x:c r="I31" s="15" t="str">
        <x:v>n/a</x:v>
      </x:c>
      <x:c r="J31" s="15" t="str">
        <x:v>https://pubs.acs.org/doi/10.1021/acsapm.1c01285</x:v>
      </x:c>
    </x:row>
    <x:row r="32" ht="26">
      <x:c r="A32" s="36" t="str">
        <x:v>A28</x:v>
      </x:c>
      <x:c r="B32" s="15" t="n">
        <x:v>2023</x:v>
      </x:c>
      <x:c r="C32" s="15" t="str">
        <x:v>Bioinspired Microstructured Adhesives with Facile and Fast Switchability for Part Manipulation in Dry and Wet Conditions</x:v>
      </x:c>
      <x:c r="D32" s="15" t="str">
        <x:v>Gecko/ladybird-inspired microstructures; suction effect</x:v>
      </x:c>
      <x:c r="E32" s="15" t="str">
        <x:v>NA15</x:v>
      </x:c>
      <x:c r="F32" s="15" t="str">
        <x:v>NA03</x:v>
      </x:c>
      <x:c r="G32" s="15" t="str">
        <x:v>3 Engage / 4 Hold / 5 Release-Reset</x:v>
      </x:c>
      <x:c r="H32" s="15" t="str">
        <x:v>Shear trigger</x:v>
      </x:c>
      <x:c r="I32" s="15" t="str">
        <x:v>Repeatable</x:v>
      </x:c>
      <x:c r="J32" s="15" t="str">
        <x:v>https://advanced.onlinelibrary.wiley.com/doi/10.1002/adfm.202303116</x:v>
      </x:c>
    </x:row>
    <x:row r="33" ht="26">
      <x:c r="A33" s="36" t="str">
        <x:v>A29</x:v>
      </x:c>
      <x:c r="B33" s="15" t="n">
        <x:v>2024</x:v>
      </x:c>
      <x:c r="C33" s="15" t="str">
        <x:v>Hydrogel Patch with Biomimetic Tree Frog Micropillars for Enhanced Adhesion and Perspiration Wicking</x:v>
      </x:c>
      <x:c r="D33" s="15" t="str">
        <x:v>Tree frog toe pad</x:v>
      </x:c>
      <x:c r="E33" s="15" t="str">
        <x:v>NA10</x:v>
      </x:c>
      <x:c r="F33" s="15" t="str">
        <x:v>NA04</x:v>
      </x:c>
      <x:c r="G33" s="15" t="str">
        <x:v>2 Conform / 3 Engage / 4 Hold</x:v>
      </x:c>
      <x:c r="H33" s="15" t="str">
        <x:v>Perspiration/contact</x:v>
      </x:c>
      <x:c r="I33" s="15" t="str">
        <x:v>Repeatable</x:v>
      </x:c>
      <x:c r="J33" s="15" t="str">
        <x:v>https://pubs.acs.org/doi/10.1021/acsapm.4c00147</x:v>
      </x:c>
    </x:row>
    <x:row r="34" ht="26">
      <x:c r="A34" s="36" t="str">
        <x:v>A30</x:v>
      </x:c>
      <x:c r="B34" s="15" t="n">
        <x:v>2024</x:v>
      </x:c>
      <x:c r="C34" s="15" t="str">
        <x:v>Highly Adaptive Kirigami-Metastructure Adhesive with Vertically Self-Aligning Octopus-like 3D Suction Cups</x:v>
      </x:c>
      <x:c r="D34" s="15" t="str">
        <x:v>Octopus suction cups + compliant kirigami</x:v>
      </x:c>
      <x:c r="E34" s="15" t="str">
        <x:v>NA15</x:v>
      </x:c>
      <x:c r="F34" s="15" t="str">
        <x:v>NA10</x:v>
      </x:c>
      <x:c r="G34" s="15" t="str">
        <x:v>3 Engage / 4 Hold / 5 Release-Reset</x:v>
      </x:c>
      <x:c r="H34" s="15" t="str">
        <x:v>Contact/deformation</x:v>
      </x:c>
      <x:c r="I34" s="15" t="str">
        <x:v>Repeatable</x:v>
      </x:c>
      <x:c r="J34" s="15" t="str">
        <x:v>https://pubs.acs.org/doi/10.1021/acsami.4c03363</x:v>
      </x:c>
    </x:row>
    <x:row r="35" ht="26">
      <x:c r="A35" s="36" t="str">
        <x:v>F01</x:v>
      </x:c>
      <x:c r="B35" s="15" t="n">
        <x:v>2000</x:v>
      </x:c>
      <x:c r="C35" s="15" t="str">
        <x:v>Adhesive force of a single gecko foot-hair</x:v>
      </x:c>
      <x:c r="D35" s="15" t="str">
        <x:v>Gecko seta</x:v>
      </x:c>
      <x:c r="E35" s="15" t="str">
        <x:v>NA03</x:v>
      </x:c>
      <x:c r="F35" s="15" t="str">
        <x:v>NA01</x:v>
      </x:c>
      <x:c r="G35" s="15" t="str">
        <x:v>3 Engage / 4 Hold / 5 Release</x:v>
      </x:c>
      <x:c r="H35" s="15" t="str">
        <x:v>Preload + shear</x:v>
      </x:c>
      <x:c r="I35" s="15" t="str">
        <x:v>Highly repeatable</x:v>
      </x:c>
      <x:c r="J35" s="15" t="str">
        <x:v>https://doi.org/10.1038/35015073</x:v>
      </x:c>
    </x:row>
    <x:row r="36" ht="26">
      <x:c r="A36" s="36" t="str">
        <x:v>F02</x:v>
      </x:c>
      <x:c r="B36" s="15" t="n">
        <x:v>2002</x:v>
      </x:c>
      <x:c r="C36" s="15" t="str">
        <x:v>Evidence for van der Waals adhesion in gecko setae</x:v>
      </x:c>
      <x:c r="D36" s="15" t="str">
        <x:v>Gecko setae</x:v>
      </x:c>
      <x:c r="E36" s="15" t="str">
        <x:v>NA01</x:v>
      </x:c>
      <x:c r="F36" s="15" t="str">
        <x:v>NA02</x:v>
      </x:c>
      <x:c r="G36" s="15" t="str">
        <x:v>2 Conform / 3 Engage / 4 Hold</x:v>
      </x:c>
      <x:c r="H36" s="15" t="str">
        <x:v>Contact</x:v>
      </x:c>
      <x:c r="I36" s="15" t="str">
        <x:v>Highly repeatable</x:v>
      </x:c>
      <x:c r="J36" s="15" t="str">
        <x:v>https://doi.org/10.1073/pnas.192252799</x:v>
      </x:c>
    </x:row>
    <x:row r="37" ht="26">
      <x:c r="A37" s="36" t="str">
        <x:v>F03</x:v>
      </x:c>
      <x:c r="B37" s="15" t="n">
        <x:v>2003</x:v>
      </x:c>
      <x:c r="C37" s="15" t="str">
        <x:v>Microfabricated adhesive mimicking gecko foot-hair</x:v>
      </x:c>
      <x:c r="D37" s="15" t="str">
        <x:v>Gecko foot hairs</x:v>
      </x:c>
      <x:c r="E37" s="15" t="str">
        <x:v>NA01</x:v>
      </x:c>
      <x:c r="F37" s="15" t="str">
        <x:v>NA02</x:v>
      </x:c>
      <x:c r="G37" s="15" t="str">
        <x:v>2 Conform / 3 Engage / 4 Hold</x:v>
      </x:c>
      <x:c r="H37" s="15" t="str">
        <x:v>Preload</x:v>
      </x:c>
      <x:c r="I37" s="15" t="str">
        <x:v>Repeatable</x:v>
      </x:c>
      <x:c r="J37" s="15" t="str">
        <x:v>https://doi.org/10.1038/nmat917</x:v>
      </x:c>
    </x:row>
    <x:row r="38" ht="13">
      <x:c r="A38" s="36" t="str">
        <x:v>F04</x:v>
      </x:c>
      <x:c r="B38" s="15" t="n">
        <x:v>2006</x:v>
      </x:c>
      <x:c r="C38" s="15" t="str">
        <x:v>Single-molecule mechanics of mussel adhesion</x:v>
      </x:c>
      <x:c r="D38" s="15" t="str">
        <x:v>Mussel DOPA chemistry</x:v>
      </x:c>
      <x:c r="E38" s="15" t="str">
        <x:v>NA06</x:v>
      </x:c>
      <x:c r="F38" s="15" t="str">
        <x:v>NA08</x:v>
      </x:c>
      <x:c r="G38" s="15" t="str">
        <x:v>3 Engage / 4 Hold</x:v>
      </x:c>
      <x:c r="H38" s="15" t="str">
        <x:v>Contact</x:v>
      </x:c>
      <x:c r="I38" s="15" t="str">
        <x:v>Reversible at molecular scale</x:v>
      </x:c>
      <x:c r="J38" s="15" t="str">
        <x:v>https://doi.org/10.1073/pnas.0605552103</x:v>
      </x:c>
    </x:row>
    <x:row r="39" ht="39">
      <x:c r="A39" s="36" t="str">
        <x:v>F05</x:v>
      </x:c>
      <x:c r="B39" s="15" t="n">
        <x:v>2007</x:v>
      </x:c>
      <x:c r="C39" s="15" t="str">
        <x:v>Biologically inspired crack trapping for enhanced adhesion</x:v>
      </x:c>
      <x:c r="D39" s="15" t="str">
        <x:v>Fibrillar biological attachment</x:v>
      </x:c>
      <x:c r="E39" s="15" t="str">
        <x:v>NA05</x:v>
      </x:c>
      <x:c r="F39" s="15" t="str">
        <x:v>NA01</x:v>
      </x:c>
      <x:c r="G39" s="15" t="str">
        <x:v>4 Hold / 5 Release</x:v>
      </x:c>
      <x:c r="H39" s="15" t="str">
        <x:v>Interfacial load</x:v>
      </x:c>
      <x:c r="I39" s="15" t="str">
        <x:v>Repeatable</x:v>
      </x:c>
      <x:c r="J39" s="15" t="str">
        <x:v>https://doi.org/10.1073/pnas.0703762104</x:v>
      </x:c>
    </x:row>
    <x:row r="40" ht="39">
      <x:c r="A40" s="36" t="str">
        <x:v>F06</x:v>
      </x:c>
      <x:c r="B40" s="15" t="n">
        <x:v>2007</x:v>
      </x:c>
      <x:c r="C40" s="15" t="str">
        <x:v>Mussel-inspired surface chemistry for multifunctional coatings</x:v>
      </x:c>
      <x:c r="D40" s="15" t="str">
        <x:v>Mussel adhesive proteins</x:v>
      </x:c>
      <x:c r="E40" s="15" t="str">
        <x:v>NA06</x:v>
      </x:c>
      <x:c r="F40" s="15" t="str">
        <x:v>NA07</x:v>
      </x:c>
      <x:c r="G40" s="15" t="str">
        <x:v>3 Engage / 4 Hold</x:v>
      </x:c>
      <x:c r="H40" s="15" t="str">
        <x:v>Oxidative deposition</x:v>
      </x:c>
      <x:c r="I40" s="15" t="str">
        <x:v>Repeatable coating process</x:v>
      </x:c>
      <x:c r="J40" s="15" t="str">
        <x:v>https://doi.org/10.1126/science.1147241</x:v>
      </x:c>
    </x:row>
    <x:row r="41" ht="39">
      <x:c r="A41" s="36" t="str">
        <x:v>F07</x:v>
      </x:c>
      <x:c r="B41" s="15" t="n">
        <x:v>2007</x:v>
      </x:c>
      <x:c r="C41" s="15" t="str">
        <x:v>A reversible wet/dry adhesive inspired by mussels and geckos</x:v>
      </x:c>
      <x:c r="D41" s="15" t="str">
        <x:v>Mussel + gecko</x:v>
      </x:c>
      <x:c r="E41" s="15" t="str">
        <x:v>NA07</x:v>
      </x:c>
      <x:c r="F41" s="15" t="str">
        <x:v>NA06</x:v>
      </x:c>
      <x:c r="G41" s="15" t="str">
        <x:v>2 Conform / 3 Engage / 4 Hold</x:v>
      </x:c>
      <x:c r="H41" s="15" t="str">
        <x:v>Contact</x:v>
      </x:c>
      <x:c r="I41" s="15" t="str">
        <x:v>High cycle capability</x:v>
      </x:c>
      <x:c r="J41" s="15" t="str">
        <x:v>https://doi.org/10.1038/nature05968</x:v>
      </x:c>
    </x:row>
    <x:row r="42" ht="39">
      <x:c r="A42" s="36" t="str">
        <x:v>F08</x:v>
      </x:c>
      <x:c r="B42" s="15" t="n">
        <x:v>2007</x:v>
      </x:c>
      <x:c r="C42" s="15" t="str">
        <x:v>Carbon nanotube-based synthetic gecko tapes</x:v>
      </x:c>
      <x:c r="D42" s="15" t="str">
        <x:v>Gecko hierarchy</x:v>
      </x:c>
      <x:c r="E42" s="15" t="str">
        <x:v>NA02</x:v>
      </x:c>
      <x:c r="F42" s="15" t="str">
        <x:v>NA01</x:v>
      </x:c>
      <x:c r="G42" s="15" t="str">
        <x:v>2 Conform / 3 Engage / 4 Hold</x:v>
      </x:c>
      <x:c r="H42" s="15" t="str">
        <x:v>Preload/shear</x:v>
      </x:c>
      <x:c r="I42" s="15" t="str">
        <x:v>Repeatable</x:v>
      </x:c>
      <x:c r="J42" s="15" t="str">
        <x:v>https://doi.org/10.1073/pnas.0703505104</x:v>
      </x:c>
    </x:row>
    <x:row r="43" ht="39">
      <x:c r="A43" s="36" t="str">
        <x:v>F09</x:v>
      </x:c>
      <x:c r="B43" s="15" t="n">
        <x:v>2008</x:v>
      </x:c>
      <x:c r="C43" s="15" t="str">
        <x:v>A biodegradable and biocompatible gecko-inspired tissue adhesive</x:v>
      </x:c>
      <x:c r="D43" s="15" t="str">
        <x:v>Gecko + tissue-reactive chemistry</x:v>
      </x:c>
      <x:c r="E43" s="15" t="str">
        <x:v>NA07</x:v>
      </x:c>
      <x:c r="F43" s="15" t="str">
        <x:v>NA04</x:v>
      </x:c>
      <x:c r="G43" s="15" t="str">
        <x:v>2 Conform / 3 Engage / 4 Hold</x:v>
      </x:c>
      <x:c r="H43" s="15" t="str">
        <x:v>Wet tissue contact</x:v>
      </x:c>
      <x:c r="I43" s="15" t="str">
        <x:v>Finite</x:v>
      </x:c>
      <x:c r="J43" s="15" t="str">
        <x:v>https://doi.org/10.1073/pnas.0712117105</x:v>
      </x:c>
    </x:row>
    <x:row r="44" ht="26">
      <x:c r="A44" s="36" t="str">
        <x:v>F10</x:v>
      </x:c>
      <x:c r="B44" s="15" t="n">
        <x:v>2009</x:v>
      </x:c>
      <x:c r="C44" s="15" t="str">
        <x:v>Gecko-Inspired Directional and Controllable Adhesion</x:v>
      </x:c>
      <x:c r="D44" s="15" t="str">
        <x:v>Gecko directional setae</x:v>
      </x:c>
      <x:c r="E44" s="15" t="str">
        <x:v>NA03</x:v>
      </x:c>
      <x:c r="F44" s="15" t="str">
        <x:v>NA01</x:v>
      </x:c>
      <x:c r="G44" s="15" t="str">
        <x:v>3 Engage / 4 Hold / 5 Release</x:v>
      </x:c>
      <x:c r="H44" s="15" t="str">
        <x:v>Shear/peel angle</x:v>
      </x:c>
      <x:c r="I44" s="15" t="str">
        <x:v>Repeatable</x:v>
      </x:c>
      <x:c r="J44" s="15" t="str">
        <x:v>https://doi.org/10.1002/smll.200801161</x:v>
      </x:c>
    </x:row>
    <x:row r="45" ht="26">
      <x:c r="A45" s="36" t="str">
        <x:v>F11</x:v>
      </x:c>
      <x:c r="B45" s="15" t="n">
        <x:v>2012</x:v>
      </x:c>
      <x:c r="C45" s="15" t="str">
        <x:v>Looking Beyond Fibrillar Features to Scale Gecko-Like Adhesion</x:v>
      </x:c>
      <x:c r="D45" s="15" t="str">
        <x:v>Gecko toe pad + load path</x:v>
      </x:c>
      <x:c r="E45" s="15" t="str">
        <x:v>NA04</x:v>
      </x:c>
      <x:c r="F45" s="15" t="str">
        <x:v>NA13</x:v>
      </x:c>
      <x:c r="G45" s="15" t="str">
        <x:v>2 Conform / 4 Hold</x:v>
      </x:c>
      <x:c r="H45" s="15" t="str">
        <x:v>Contact + shear</x:v>
      </x:c>
      <x:c r="I45" s="15" t="str">
        <x:v>Repeatable</x:v>
      </x:c>
      <x:c r="J45" s="15" t="str">
        <x:v>https://doi.org/10.1002/adma.201104191</x:v>
      </x:c>
    </x:row>
    <x:row r="46" ht="26">
      <x:c r="A46" s="36" t="str">
        <x:v>F12</x:v>
      </x:c>
      <x:c r="B46" s="15" t="n">
        <x:v>2012</x:v>
      </x:c>
      <x:c r="C46" s="15" t="str">
        <x:v>Underwater locomotion in a terrestrial beetle: combination of surface de-wetting and capillary forces</x:v>
      </x:c>
      <x:c r="D46" s="15" t="str">
        <x:v>Leaf beetle</x:v>
      </x:c>
      <x:c r="E46" s="15" t="str">
        <x:v>NA09</x:v>
      </x:c>
      <x:c r="F46" s="15" t="str">
        <x:v>NA10</x:v>
      </x:c>
      <x:c r="G46" s="15" t="str">
        <x:v>2 Conform / 3 Engage</x:v>
      </x:c>
      <x:c r="H46" s="15" t="str">
        <x:v>Immersion/contact</x:v>
      </x:c>
      <x:c r="I46" s="15" t="str">
        <x:v>Repeatable</x:v>
      </x:c>
      <x:c r="J46" s="15" t="str">
        <x:v>https://doi.org/10.1098/rspb.2012.1297</x:v>
      </x:c>
    </x:row>
    <x:row r="47" ht="26">
      <x:c r="A47" s="36" t="str">
        <x:v>F13</x:v>
      </x:c>
      <x:c r="B47" s="15" t="n">
        <x:v>2012</x:v>
      </x:c>
      <x:c r="C47" s="15" t="str">
        <x:v>Microstructured barbs on the North American porcupine quill enable easy tissue penetration and difficult removal</x:v>
      </x:c>
      <x:c r="D47" s="15" t="str">
        <x:v>Porcupine quill</x:v>
      </x:c>
      <x:c r="E47" s="15" t="str">
        <x:v>NA11</x:v>
      </x:c>
      <x:c r="F47" s="15" t="str">
        <x:v>NA03</x:v>
      </x:c>
      <x:c r="G47" s="15" t="str">
        <x:v>3 Engage / 4 Hold</x:v>
      </x:c>
      <x:c r="H47" s="15" t="str">
        <x:v>Insertion</x:v>
      </x:c>
      <x:c r="I47" s="15" t="str">
        <x:v>Usually finite</x:v>
      </x:c>
      <x:c r="J47" s="15" t="str">
        <x:v>https://doi.org/10.1073/pnas.1216441109</x:v>
      </x:c>
    </x:row>
    <x:row r="48" ht="26">
      <x:c r="A48" s="36" t="str">
        <x:v>F14</x:v>
      </x:c>
      <x:c r="B48" s="15" t="n">
        <x:v>2013</x:v>
      </x:c>
      <x:c r="C48" s="15" t="str">
        <x:v>A bio-inspired swellable microneedle adhesive for mechanical interlocking with tissue</x:v>
      </x:c>
      <x:c r="D48" s="15" t="str">
        <x:v>Spiny-headed worm proboscis</x:v>
      </x:c>
      <x:c r="E48" s="15" t="str">
        <x:v>NA12</x:v>
      </x:c>
      <x:c r="F48" s="15" t="str">
        <x:v>NA11</x:v>
      </x:c>
      <x:c r="G48" s="15" t="str">
        <x:v>3 Engage / 4 Hold / 5 Release</x:v>
      </x:c>
      <x:c r="H48" s="15" t="str">
        <x:v>Water/tissue fluid</x:v>
      </x:c>
      <x:c r="I48" s="15" t="str">
        <x:v>Potentially repeatable only by design</x:v>
      </x:c>
      <x:c r="J48" s="15" t="str">
        <x:v>https://doi.org/10.1038/ncomms2715</x:v>
      </x:c>
    </x:row>
    <x:row r="49" ht="26">
      <x:c r="A49" s="36" t="str">
        <x:v>F15</x:v>
      </x:c>
      <x:c r="B49" s="15" t="n">
        <x:v>2014</x:v>
      </x:c>
      <x:c r="C49" s="15" t="str">
        <x:v>The whole is more than the sum of all its parts: collective effect of spider attachment organs</x:v>
      </x:c>
      <x:c r="D49" s="15" t="str">
        <x:v>Hunting spider legs / scopulae</x:v>
      </x:c>
      <x:c r="E49" s="15" t="str">
        <x:v>NA13</x:v>
      </x:c>
      <x:c r="F49" s="15" t="str">
        <x:v>NA03</x:v>
      </x:c>
      <x:c r="G49" s="15" t="str">
        <x:v>1 Approach / 3 Engage / 4 Hold / 5 Release</x:v>
      </x:c>
      <x:c r="H49" s="15" t="str">
        <x:v>Muscle-generated shear</x:v>
      </x:c>
      <x:c r="I49" s="15" t="str">
        <x:v>Highly repeatable</x:v>
      </x:c>
      <x:c r="J49" s="15" t="str">
        <x:v>https://doi.org/10.1242/jeb.093468</x:v>
      </x:c>
    </x:row>
    <x:row r="50" ht="39">
      <x:c r="A50" s="36" t="str">
        <x:v>F16</x:v>
      </x:c>
      <x:c r="B50" s="15" t="n">
        <x:v>2015</x:v>
      </x:c>
      <x:c r="C50" s="15" t="str">
        <x:v>Torrent Frog-Inspired Adhesives: Attachment to Flooded Surfaces</x:v>
      </x:c>
      <x:c r="D50" s="15" t="str">
        <x:v>Torrent frog toe pad</x:v>
      </x:c>
      <x:c r="E50" s="15" t="str">
        <x:v>NA10</x:v>
      </x:c>
      <x:c r="F50" s="15" t="str">
        <x:v>NA04</x:v>
      </x:c>
      <x:c r="G50" s="15" t="str">
        <x:v>2 Conform / 3 Engage / 4 Hold</x:v>
      </x:c>
      <x:c r="H50" s="15" t="str">
        <x:v>Wet contact</x:v>
      </x:c>
      <x:c r="I50" s="15" t="str">
        <x:v>Repeatable</x:v>
      </x:c>
      <x:c r="J50" s="15" t="str">
        <x:v>https://doi.org/10.1002/adfm.201403751</x:v>
      </x:c>
    </x:row>
    <x:row r="51" ht="26">
      <x:c r="A51" s="36" t="str">
        <x:v>F17</x:v>
      </x:c>
      <x:c r="B51" s="15" t="n">
        <x:v>2015</x:v>
      </x:c>
      <x:c r="C51" s="15" t="str">
        <x:v>High-performance mussel-inspired adhesives of reduced complexity</x:v>
      </x:c>
      <x:c r="D51" s="15" t="str">
        <x:v>Mussel foot proteins</x:v>
      </x:c>
      <x:c r="E51" s="15" t="str">
        <x:v>NA08</x:v>
      </x:c>
      <x:c r="F51" s="15" t="str">
        <x:v>NA06</x:v>
      </x:c>
      <x:c r="G51" s="15" t="str">
        <x:v>3 Engage</x:v>
      </x:c>
      <x:c r="H51" s="15" t="str">
        <x:v>pH/ionic/contact</x:v>
      </x:c>
      <x:c r="I51" s="15" t="str">
        <x:v>Finite/replenishable</x:v>
      </x:c>
      <x:c r="J51" s="15" t="str">
        <x:v>https://doi.org/10.1038/ncomms9663</x:v>
      </x:c>
    </x:row>
    <x:row r="52" ht="39">
      <x:c r="A52" s="36" t="str">
        <x:v>F18</x:v>
      </x:c>
      <x:c r="B52" s="15" t="n">
        <x:v>2017</x:v>
      </x:c>
      <x:c r="C52" s="15" t="str">
        <x:v>Bio-inspired reversible underwater adhesive</x:v>
      </x:c>
      <x:c r="D52" s="15" t="str">
        <x:v>Mussel-inspired catechol + responsive host-guest chemistry</x:v>
      </x:c>
      <x:c r="E52" s="15" t="str">
        <x:v>NA15</x:v>
      </x:c>
      <x:c r="F52" s="15" t="str">
        <x:v>NA06</x:v>
      </x:c>
      <x:c r="G52" s="15" t="str">
        <x:v>3 Engage / 4 Hold / 5 Release-Reset</x:v>
      </x:c>
      <x:c r="H52" s="15" t="str">
        <x:v>Temperature / molecular state</x:v>
      </x:c>
      <x:c r="I52" s="15" t="str">
        <x:v>Repeatable</x:v>
      </x:c>
      <x:c r="J52" s="15" t="str">
        <x:v>https://doi.org/10.1038/s41467-017-02387-2</x:v>
      </x:c>
    </x:row>
    <x:row r="53" ht="26">
      <x:c r="A53" s="36" t="str">
        <x:v>F19</x:v>
      </x:c>
      <x:c r="B53" s="15" t="n">
        <x:v>2019</x:v>
      </x:c>
      <x:c r="C53" s="15" t="str">
        <x:v>Humidity-tolerant rate-dependent capillary viscous adhesion of bee-collected pollen fluids</x:v>
      </x:c>
      <x:c r="D53" s="15" t="str">
        <x:v>Bee pollen adhesive / pollenkitt</x:v>
      </x:c>
      <x:c r="E53" s="15" t="str">
        <x:v>NA14</x:v>
      </x:c>
      <x:c r="F53" s="15" t="str">
        <x:v>NA10</x:v>
      </x:c>
      <x:c r="G53" s="15" t="str">
        <x:v>3 Engage / 4 Hold / 5 Reset</x:v>
      </x:c>
      <x:c r="H53" s="15" t="str">
        <x:v>Humidity + separation rate</x:v>
      </x:c>
      <x:c r="I53" s="15" t="str">
        <x:v>Repeatable</x:v>
      </x:c>
      <x:c r="J53" s="15" t="str">
        <x:v>https://doi.org/10.1038/s41467-019-09372-x</x:v>
      </x:c>
    </x:row>
    <x:row r="54" ht="26">
      <x:c r="A54" s="36" t="str">
        <x:v>F20</x:v>
      </x:c>
      <x:c r="B54" s="15" t="n">
        <x:v>2019</x:v>
      </x:c>
      <x:c r="C54" s="15" t="str">
        <x:v>Intrinsically reversible superglues via shape adaptation inspired by snail epiphragm</x:v>
      </x:c>
      <x:c r="D54" s="15" t="str">
        <x:v>Snail epiphragm</x:v>
      </x:c>
      <x:c r="E54" s="15" t="str">
        <x:v>NA15</x:v>
      </x:c>
      <x:c r="F54" s="15" t="str">
        <x:v>NA04</x:v>
      </x:c>
      <x:c r="G54" s="15" t="str">
        <x:v>3 Engage / 4 Hold / 5 Release-Reset</x:v>
      </x:c>
      <x:c r="H54" s="15" t="str">
        <x:v>Drying / rewetting</x:v>
      </x:c>
      <x:c r="I54" s="15" t="str">
        <x:v>Repeatable</x:v>
      </x:c>
      <x:c r="J54" s="15" t="str">
        <x:v>https://doi.org/10.1073/pnas.1818534116</x:v>
      </x:c>
    </x:row>
    <x:row r="55" ht="26">
      <x:c r="A55" s="36"/>
      <x:c r="B55" s="15"/>
      <x:c r="C55" s="15"/>
      <x:c r="D55" s="15"/>
      <x:c r="E55" s="15"/>
      <x:c r="F55" s="15"/>
      <x:c r="G55" s="15"/>
      <x:c r="H55" s="15"/>
      <x:c r="I55" s="15"/>
      <x:c r="J55" s="15"/>
    </x:row>
    <x:row r="56" ht="26">
      <x:c r="A56" s="36"/>
      <x:c r="B56" s="15"/>
      <x:c r="C56" s="15"/>
      <x:c r="D56" s="15"/>
      <x:c r="E56" s="15"/>
      <x:c r="F56" s="15"/>
      <x:c r="G56" s="15"/>
      <x:c r="H56" s="15"/>
      <x:c r="I56" s="15"/>
      <x:c r="J56" s="15"/>
    </x:row>
    <x:row r="57" ht="26">
      <x:c r="A57" s="36"/>
      <x:c r="B57" s="15"/>
      <x:c r="C57" s="15"/>
      <x:c r="D57" s="15"/>
      <x:c r="E57" s="15"/>
      <x:c r="F57" s="15"/>
      <x:c r="G57" s="15"/>
      <x:c r="H57" s="15"/>
      <x:c r="I57" s="15"/>
      <x:c r="J57" s="15"/>
    </x:row>
    <x:row r="58" ht="26">
      <x:c r="A58" s="36"/>
      <x:c r="B58" s="15"/>
      <x:c r="C58" s="15"/>
      <x:c r="D58" s="15"/>
      <x:c r="E58" s="15"/>
      <x:c r="F58" s="15"/>
      <x:c r="G58" s="15"/>
      <x:c r="H58" s="15"/>
      <x:c r="I58" s="15"/>
      <x:c r="J58" s="15"/>
    </x:row>
    <x:row r="59" ht="26">
      <x:c r="A59" s="36"/>
      <x:c r="B59" s="15"/>
      <x:c r="C59" s="15"/>
      <x:c r="D59" s="15"/>
      <x:c r="E59" s="15"/>
      <x:c r="F59" s="15"/>
      <x:c r="G59" s="15"/>
      <x:c r="H59" s="15"/>
      <x:c r="I59" s="15"/>
      <x:c r="J59" s="15"/>
    </x:row>
    <x:row r="60" ht="26">
      <x:c r="A60" s="36"/>
      <x:c r="B60" s="15"/>
      <x:c r="C60" s="15"/>
      <x:c r="D60" s="15"/>
      <x:c r="E60" s="15"/>
      <x:c r="F60" s="15"/>
      <x:c r="G60" s="15"/>
      <x:c r="H60" s="15"/>
      <x:c r="I60" s="15"/>
      <x:c r="J60" s="15"/>
    </x:row>
    <x:row r="61" ht="26">
      <x:c r="A61" s="36"/>
      <x:c r="B61" s="15"/>
      <x:c r="C61" s="15"/>
      <x:c r="D61" s="15"/>
      <x:c r="E61" s="15"/>
      <x:c r="F61" s="15"/>
      <x:c r="G61" s="15"/>
      <x:c r="H61" s="15"/>
      <x:c r="I61" s="15"/>
      <x:c r="J61" s="15"/>
    </x:row>
    <x:row r="62" ht="26">
      <x:c r="A62" s="36"/>
      <x:c r="B62" s="15"/>
      <x:c r="C62" s="15"/>
      <x:c r="D62" s="15"/>
      <x:c r="E62" s="15"/>
      <x:c r="F62" s="15"/>
      <x:c r="G62" s="15"/>
      <x:c r="H62" s="15"/>
      <x:c r="I62" s="15"/>
      <x:c r="J62" s="15"/>
    </x:row>
    <x:row r="63" ht="26">
      <x:c r="A63" s="36"/>
      <x:c r="B63" s="15"/>
      <x:c r="C63" s="15"/>
      <x:c r="D63" s="15"/>
      <x:c r="E63" s="15"/>
      <x:c r="F63" s="15"/>
      <x:c r="G63" s="15"/>
      <x:c r="H63" s="15"/>
      <x:c r="I63" s="15"/>
      <x:c r="J63" s="15"/>
    </x:row>
    <x:row r="64" ht="39">
      <x:c r="A64" s="36"/>
      <x:c r="B64" s="15"/>
      <x:c r="C64" s="15"/>
      <x:c r="D64" s="15"/>
      <x:c r="E64" s="15"/>
      <x:c r="F64" s="15"/>
      <x:c r="G64" s="15"/>
      <x:c r="H64" s="15"/>
      <x:c r="I64" s="15"/>
      <x:c r="J64" s="15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4b958cd8b2f4413"/>
  </x:tableParts>
</x:worksheet>
</file>

<file path=xl/worksheets/sheet6.xml><?xml version="1.0" encoding="utf-8"?>
<x:worksheet xmlns:x="http://schemas.openxmlformats.org/spreadsheetml/2006/main">
  <x:sheetFormatPr defaultColWidth="8.6328125" defaultRowHeight="14.5"/>
  <x:cols>
    <x:col min="1" max="1" width="11" style="12" customWidth="1"/>
    <x:col min="2" max="2" width="28" style="12" customWidth="1"/>
    <x:col min="3" max="3" width="22" style="12" customWidth="1"/>
    <x:col min="4" max="4" width="30" style="12" customWidth="1"/>
    <x:col min="5" max="5" width="36" style="12" customWidth="1"/>
    <x:col min="6" max="6" width="38" style="12" customWidth="1"/>
    <x:col min="7" max="7" width="48" style="12" customWidth="1"/>
    <x:col min="8" max="8" width="24" style="12" customWidth="1"/>
    <x:col min="9" max="9" width="30" style="12" customWidth="1"/>
    <x:col min="10" max="10" width="28" style="12" customWidth="1"/>
    <x:col min="11" max="11" width="24" style="12" customWidth="1"/>
    <x:col min="12" max="13" width="28" style="12" customWidth="1"/>
    <x:col min="14" max="14" width="18" style="12" customWidth="1"/>
    <x:col min="15" max="15" width="20" style="12" customWidth="1"/>
    <x:col min="16" max="16" width="18" style="12" customWidth="1"/>
    <x:col min="17" max="17" width="28" style="12" customWidth="1"/>
    <x:col min="18" max="18" width="50" style="12" customWidth="1"/>
    <x:col min="19" max="19" width="38" style="12" customWidth="1"/>
    <x:col min="20" max="21" width="34" style="12" customWidth="1"/>
    <x:col min="22" max="22" width="28" style="12" customWidth="1"/>
    <x:col min="23" max="23" width="38" style="12" customWidth="1"/>
    <x:col min="24" max="24" width="16" style="12" customWidth="1"/>
  </x:cols>
  <x:sheetData>
    <x:row r="1" ht="20.899999618530273" customHeight="1">
      <x:c r="A1" s="6" t="str">
        <x:v>Nature Adhesion Ontology — Strategy Definitions and Transfer Rules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</x:row>
    <x:row r="2" ht="15" customHeight="1">
      <x:c r="A2" s="5" t="str">
        <x:v>The 15 mechanisms are the primary strategy layer. Biological models are evidence anchors; constraints, release logic and failure modes are first-class so the engine can reject unsuitable analogies.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4" t="str">
        <x:v>Strategy ID</x:v>
      </x:c>
      <x:c r="B4" s="14" t="str">
        <x:v>Strategy</x:v>
      </x:c>
      <x:c r="C4" s="14" t="str">
        <x:v>Attachment phase(s)</x:v>
      </x:c>
      <x:c r="D4" s="14" t="str">
        <x:v>Canonical / extended primitive</x:v>
      </x:c>
      <x:c r="E4" s="14" t="str">
        <x:v>Representative biological model</x:v>
      </x:c>
      <x:c r="F4" s="14" t="str">
        <x:v>Biological challenge</x:v>
      </x:c>
      <x:c r="G4" s="14" t="str">
        <x:v>Natural sequence</x:v>
      </x:c>
      <x:c r="H4" s="14" t="str">
        <x:v>Trigger / sensor</x:v>
      </x:c>
      <x:c r="I4" s="14" t="str">
        <x:v>Immediate response</x:v>
      </x:c>
      <x:c r="J4" s="14" t="str">
        <x:v>Resource / adhesive material</x:v>
      </x:c>
      <x:c r="K4" s="14" t="str">
        <x:v>Resource location</x:v>
      </x:c>
      <x:c r="L4" s="14" t="str">
        <x:v>Transport / mobilization</x:v>
      </x:c>
      <x:c r="M4" s="14" t="str">
        <x:v>Attachment / reconstruction mode</x:v>
      </x:c>
      <x:c r="N4" s="14" t="str">
        <x:v>Spatial scale</x:v>
      </x:c>
      <x:c r="O4" s="14" t="str">
        <x:v>Temporal profile</x:v>
      </x:c>
      <x:c r="P4" s="14" t="str">
        <x:v>Repeatability</x:v>
      </x:c>
      <x:c r="Q4" s="14" t="str">
        <x:v>Function(s) achieved</x:v>
      </x:c>
      <x:c r="R4" s="14" t="str">
        <x:v>Engineering-neutral design rule</x:v>
      </x:c>
      <x:c r="S4" s="14" t="str">
        <x:v>Suitable engineering conditions</x:v>
      </x:c>
      <x:c r="T4" s="14" t="str">
        <x:v>Main trade-off</x:v>
      </x:c>
      <x:c r="U4" s="14" t="str">
        <x:v>Common failure mode</x:v>
      </x:c>
      <x:c r="V4" s="14" t="str">
        <x:v>Best complementary strategies</x:v>
      </x:c>
      <x:c r="W4" s="14" t="str">
        <x:v>Evidence anchors</x:v>
      </x:c>
      <x:c r="X4" s="14" t="str">
        <x:v>Confidence</x:v>
      </x:c>
    </x:row>
    <x:row r="5" ht="78" customHeight="1">
      <x:c r="A5" s="36" t="str">
        <x:v>NA01</x:v>
      </x:c>
      <x:c r="B5" s="36" t="str">
        <x:v>Split contact into many small contacts</x:v>
      </x:c>
      <x:c r="C5" s="15" t="str">
        <x:v>2 Conform / 3 Engage / 4 Hold</x:v>
      </x:c>
      <x:c r="D5" s="15" t="str">
        <x:v>P02 Contact splitting; P01 van der Waals attraction</x:v>
      </x:c>
      <x:c r="E5" s="15" t="str">
        <x:v>Gecko setae/spatulae; spider scopulae; beetle adhesive hairs</x:v>
      </x:c>
      <x:c r="F5" s="15" t="str">
        <x:v>Generate strong reversible attachment without a permanently tacky bulk adhesive.</x:v>
      </x:c>
      <x:c r="G5" s="15" t="str">
        <x:v>Divide one interface into many compliant micro/nanocontacts → conform locally → sum weak intermolecular forces → detach progressively.</x:v>
      </x:c>
      <x:c r="H5" s="15" t="str">
        <x:v>Preload + local contact; usually passive</x:v>
      </x:c>
      <x:c r="I5" s="15" t="str">
        <x:v>Large real contact area with distributed attachment</x:v>
      </x:c>
      <x:c r="J5" s="15" t="str">
        <x:v>Existing surface material; no consumable glue</x:v>
      </x:c>
      <x:c r="K5" s="15" t="str">
        <x:v>At interface</x:v>
      </x:c>
      <x:c r="L5" s="15" t="str">
        <x:v>None</x:v>
      </x:c>
      <x:c r="M5" s="15" t="str">
        <x:v>Distributed intermolecular attachment</x:v>
      </x:c>
      <x:c r="N5" s="15" t="str">
        <x:v>Nano → macro interface</x:v>
      </x:c>
      <x:c r="O5" s="15" t="str">
        <x:v>Milliseconds to seconds</x:v>
      </x:c>
      <x:c r="P5" s="15" t="str">
        <x:v>Highly repeatable if clean</x:v>
      </x:c>
      <x:c r="Q5" s="15" t="str">
        <x:v>Attachment force; reversibility; low residue</x:v>
      </x:c>
      <x:c r="R5" s="15" t="str">
        <x:v>Replace a single large contact with many subcritical contacts so local conformity increases and failure is distributed.</x:v>
      </x:c>
      <x:c r="S5" s="15" t="str">
        <x:v>Dry or mildly humid surfaces; repeated attach/release; low residue; scalable contact area</x:v>
      </x:c>
      <x:c r="T5" s="15" t="str">
        <x:v>Microfeatures can foul, collapse, or lose contact on very rough surfaces</x:v>
      </x:c>
      <x:c r="U5" s="15" t="str">
        <x:v>Poor fabrication uniformity; contamination; insufficient preload or contact area</x:v>
      </x:c>
      <x:c r="V5" s="15" t="str">
        <x:v>NA02, NA03, NA04, NA13</x:v>
      </x:c>
      <x:c r="W5" s="15" t="str">
        <x:v>Autumn 2000; Autumn 2002; Geim 2003; Ge et al. 2007</x:v>
      </x:c>
      <x:c r="X5" s="15" t="str">
        <x:v>Very high</x:v>
      </x:c>
    </x:row>
    <x:row r="6" ht="78" customHeight="1">
      <x:c r="A6" s="36" t="str">
        <x:v>NA02</x:v>
      </x:c>
      <x:c r="B6" s="36" t="str">
        <x:v>Build hierarchy across scales</x:v>
      </x:c>
      <x:c r="C6" s="15" t="str">
        <x:v>2 Conform / 3 Engage / 4 Hold</x:v>
      </x:c>
      <x:c r="D6" s="15" t="str">
        <x:v>P03 Hierarchical fibrils; P02 contact splitting</x:v>
      </x:c>
      <x:c r="E6" s="15" t="str">
        <x:v>Gecko lamellae→setae→spatulae; spider branched setae</x:v>
      </x:c>
      <x:c r="F6" s="15" t="str">
        <x:v>Remain compliant enough to conform at small scales while transmitting larger loads through the whole foot/pad.</x:v>
      </x:c>
      <x:c r="G6" s="15" t="str">
        <x:v>Macro support conforms → microfibrils distribute load → nanoscale tips maximize intimate contact.</x:v>
      </x:c>
      <x:c r="H6" s="15" t="str">
        <x:v>Preload + shear engagement</x:v>
      </x:c>
      <x:c r="I6" s="15" t="str">
        <x:v>Multi-scale conformity and robust load transfer</x:v>
      </x:c>
      <x:c r="J6" s="15" t="str">
        <x:v>Hierarchical structural material</x:v>
      </x:c>
      <x:c r="K6" s="15" t="str">
        <x:v>Surface + backing</x:v>
      </x:c>
      <x:c r="L6" s="15" t="str">
        <x:v>Mechanical load transfer through hierarchy</x:v>
      </x:c>
      <x:c r="M6" s="15" t="str">
        <x:v>Hierarchical contact / force distribution</x:v>
      </x:c>
      <x:c r="N6" s="15" t="str">
        <x:v>Nano → component</x:v>
      </x:c>
      <x:c r="O6" s="15" t="str">
        <x:v>Immediate</x:v>
      </x:c>
      <x:c r="P6" s="15" t="str">
        <x:v>Repeatable</x:v>
      </x:c>
      <x:c r="Q6" s="15" t="str">
        <x:v>Adhesion on variable roughness; load capacity; durability</x:v>
      </x:c>
      <x:c r="R6" s="15" t="str">
        <x:v>Allocate different length scales to different jobs: large scales for placement/load transfer, small scales for intimate contact.</x:v>
      </x:c>
      <x:c r="S6" s="15" t="str">
        <x:v>Rough or multiscale surfaces; variable curvature; repeated gripping</x:v>
      </x:c>
      <x:c r="T6" s="15" t="str">
        <x:v>Complex fabrication and scale-up; hierarchical defects can dominate failure</x:v>
      </x:c>
      <x:c r="U6" s="15" t="str">
        <x:v>Feature collapse, matting, nonuniform load sharing</x:v>
      </x:c>
      <x:c r="V6" s="15" t="str">
        <x:v>NA01, NA04, NA05</x:v>
      </x:c>
      <x:c r="W6" s="15" t="str">
        <x:v>Gecko hierarchy; CNT gecko tapes; 3D printed hybrid microstructures</x:v>
      </x:c>
      <x:c r="X6" s="15" t="str">
        <x:v>Very high</x:v>
      </x:c>
    </x:row>
    <x:row r="7" ht="78" customHeight="1">
      <x:c r="A7" s="36" t="str">
        <x:v>NA03</x:v>
      </x:c>
      <x:c r="B7" s="36" t="str">
        <x:v>Make adhesion directional / anisotropic</x:v>
      </x:c>
      <x:c r="C7" s="15" t="str">
        <x:v>3 Engage / 4 Hold / 5 Release</x:v>
      </x:c>
      <x:c r="D7" s="15" t="str">
        <x:v>P04 Directional shear engagement / peeling</x:v>
      </x:c>
      <x:c r="E7" s="15" t="str">
        <x:v>Gecko angled setae and toe curling; spider anisotropic setae</x:v>
      </x:c>
      <x:c r="F7" s="15" t="str">
        <x:v>Attach strongly while allowing rapid, low-energy detachment during locomotion.</x:v>
      </x:c>
      <x:c r="G7" s="15" t="str">
        <x:v>Orient attachment elements with the load → shear activates contact → reverse angle/peel direction → rapid release.</x:v>
      </x:c>
      <x:c r="H7" s="15" t="str">
        <x:v>Shear direction / toe angle / peel angle</x:v>
      </x:c>
      <x:c r="I7" s="15" t="str">
        <x:v>High force in selected direction; low force in release direction</x:v>
      </x:c>
      <x:c r="J7" s="15" t="str">
        <x:v>No consumable material</x:v>
      </x:c>
      <x:c r="K7" s="15" t="str">
        <x:v>Interface + pad orientation</x:v>
      </x:c>
      <x:c r="L7" s="15" t="str">
        <x:v>Body motion / actuator motion</x:v>
      </x:c>
      <x:c r="M7" s="15" t="str">
        <x:v>Directional engagement and peel release</x:v>
      </x:c>
      <x:c r="N7" s="15" t="str">
        <x:v>Micro → whole system</x:v>
      </x:c>
      <x:c r="O7" s="15" t="str">
        <x:v>Milliseconds</x:v>
      </x:c>
      <x:c r="P7" s="15" t="str">
        <x:v>Highly repeatable</x:v>
      </x:c>
      <x:c r="Q7" s="15" t="str">
        <x:v>Controllable attachment; fast release; energy-efficient locomotion</x:v>
      </x:c>
      <x:c r="R7" s="15" t="str">
        <x:v>Encode different attachment and release pathways into geometry and loading direction.</x:v>
      </x:c>
      <x:c r="S7" s="15" t="str">
        <x:v>Climbing robots; pick-and-place; directional loads; reversible closures</x:v>
      </x:c>
      <x:c r="T7" s="15" t="str">
        <x:v>Works poorly if load direction is unpredictable or pad cannot orient</x:v>
      </x:c>
      <x:c r="U7" s="15" t="str">
        <x:v>Misalignment; off-axis loading; excessive peel</x:v>
      </x:c>
      <x:c r="V7" s="15" t="str">
        <x:v>NA01, NA04, NA13, NA15</x:v>
      </x:c>
      <x:c r="W7" s="15" t="str">
        <x:v>Autumn 2000; Murphy 2009; Imburgia et al. 2019; spider collective-effect paper</x:v>
      </x:c>
      <x:c r="X7" s="15" t="str">
        <x:v>Very high</x:v>
      </x:c>
    </x:row>
    <x:row r="8" ht="78" customHeight="1">
      <x:c r="A8" s="36" t="str">
        <x:v>NA04</x:v>
      </x:c>
      <x:c r="B8" s="36" t="str">
        <x:v>Control system compliance and load path</x:v>
      </x:c>
      <x:c r="C8" s="15" t="str">
        <x:v>2 Conform / 4 Hold</x:v>
      </x:c>
      <x:c r="D8" s="15" t="str">
        <x:v>P05 Compliance matching / anisotropic stiffness</x:v>
      </x:c>
      <x:c r="E8" s="15" t="str">
        <x:v>Gecko soft toe pad + stiff tendon/bone load path; tree-frog compliant pad</x:v>
      </x:c>
      <x:c r="F8" s="15" t="str">
        <x:v>Maximize real contact while carrying high loads without making the entire system soft and unstable.</x:v>
      </x:c>
      <x:c r="G8" s="15" t="str">
        <x:v>Use soft normal-direction compliance for conformity → stiffen/brace the loading direction → transfer load to support structure.</x:v>
      </x:c>
      <x:c r="H8" s="15" t="str">
        <x:v>Preload + applied load</x:v>
      </x:c>
      <x:c r="I8" s="15" t="str">
        <x:v>Conformal contact plus high force capacity</x:v>
      </x:c>
      <x:c r="J8" s="15" t="str">
        <x:v>Elastic backing / graded stiffness / structural reinforcement</x:v>
      </x:c>
      <x:c r="K8" s="15" t="str">
        <x:v>Interface through whole load path</x:v>
      </x:c>
      <x:c r="L8" s="15" t="str">
        <x:v>Mechanical stress through backing/support</x:v>
      </x:c>
      <x:c r="M8" s="15" t="str">
        <x:v>Compliance-controlled load transfer</x:v>
      </x:c>
      <x:c r="N8" s="15" t="str">
        <x:v>Interface → device</x:v>
      </x:c>
      <x:c r="O8" s="15" t="str">
        <x:v>Immediate</x:v>
      </x:c>
      <x:c r="P8" s="15" t="str">
        <x:v>Repeatable</x:v>
      </x:c>
      <x:c r="Q8" s="15" t="str">
        <x:v>High load capacity; roughness tolerance; scalable adhesion</x:v>
      </x:c>
      <x:c r="R8" s="15" t="str">
        <x:v>Design the entire load path, not just the surface: be compliant where contact is needed and stiff where force must be transmitted.</x:v>
      </x:c>
      <x:c r="S8" s="15" t="str">
        <x:v>Large-area reversible adhesives; rough surfaces; weight-bearing attachment</x:v>
      </x:c>
      <x:c r="T8" s="15" t="str">
        <x:v>Too much compliance causes creep; too little reduces contact</x:v>
      </x:c>
      <x:c r="U8" s="15" t="str">
        <x:v>Backing dominates stiffness; poor geometry; wrong thickness</x:v>
      </x:c>
      <x:c r="V8" s="15" t="str">
        <x:v>NA01, NA02, NA03, NA13</x:v>
      </x:c>
      <x:c r="W8" s="15" t="str">
        <x:v>Bartlett et al. 2012; King &amp; Crosby 2015; Liew/Shahsavan/Zhao 2017; Imburgia dissertation</x:v>
      </x:c>
      <x:c r="X8" s="15" t="str">
        <x:v>Very high</x:v>
      </x:c>
    </x:row>
    <x:row r="9" ht="78" customHeight="1">
      <x:c r="A9" s="36" t="str">
        <x:v>NA05</x:v>
      </x:c>
      <x:c r="B9" s="36" t="str">
        <x:v>Trap and arrest detachment cracks</x:v>
      </x:c>
      <x:c r="C9" s="15" t="str">
        <x:v>4 Hold / 5 Release</x:v>
      </x:c>
      <x:c r="D9" s="15" t="str">
        <x:v>P06 Crack trapping / stress redistribution</x:v>
      </x:c>
      <x:c r="E9" s="15" t="str">
        <x:v>Fibrillar biological attachment pads; mushroom/film-terminated structures</x:v>
      </x:c>
      <x:c r="F9" s="15" t="str">
        <x:v>Prevent a local interfacial defect from turning into catastrophic detachment.</x:v>
      </x:c>
      <x:c r="G9" s="15" t="str">
        <x:v>Segment interface → local crack advances → geometry/film bridges arrest crack → load redistributes → crack must restart elsewhere.</x:v>
      </x:c>
      <x:c r="H9" s="15" t="str">
        <x:v>Interfacial crack growth under load</x:v>
      </x:c>
      <x:c r="I9" s="15" t="str">
        <x:v>Higher fracture resistance and fault tolerance</x:v>
      </x:c>
      <x:c r="J9" s="15" t="str">
        <x:v>Elastic film / fibrils / patterned interface</x:v>
      </x:c>
      <x:c r="K9" s="15" t="str">
        <x:v>Interface</x:v>
      </x:c>
      <x:c r="L9" s="15" t="str">
        <x:v>Stress redistribution</x:v>
      </x:c>
      <x:c r="M9" s="15" t="str">
        <x:v>Crack arrest / distributed debonding</x:v>
      </x:c>
      <x:c r="N9" s="15" t="str">
        <x:v>Micro → macro interface</x:v>
      </x:c>
      <x:c r="O9" s="15" t="str">
        <x:v>During loading</x:v>
      </x:c>
      <x:c r="P9" s="15" t="str">
        <x:v>Repeatable if no structural damage</x:v>
      </x:c>
      <x:c r="Q9" s="15" t="str">
        <x:v>Work of adhesion; fracture energy; defect tolerance</x:v>
      </x:c>
      <x:c r="R9" s="15" t="str">
        <x:v>Increase adhesion by controlling how failure propagates, not only by increasing bond strength.</x:v>
      </x:c>
      <x:c r="S9" s="15" t="str">
        <x:v>Large pads; defects likely; safety-critical grip; wet or dry structured adhesives</x:v>
      </x:c>
      <x:c r="T9" s="15" t="str">
        <x:v>Higher toughness can increase release energy</x:v>
      </x:c>
      <x:c r="U9" s="15" t="str">
        <x:v>Defects bypass trap architecture; film tears; stress concentrates at edges</x:v>
      </x:c>
      <x:c r="V9" s="15" t="str">
        <x:v>NA01, NA02, NA04</x:v>
      </x:c>
      <x:c r="W9" s="15" t="str">
        <x:v>Glassmaker et al. 2007; film-terminated fibrillar work; hydrogel tapes 2021</x:v>
      </x:c>
      <x:c r="X9" s="15" t="str">
        <x:v>High</x:v>
      </x:c>
    </x:row>
    <x:row r="10" ht="78" customHeight="1">
      <x:c r="A10" s="36" t="str">
        <x:v>NA06</x:v>
      </x:c>
      <x:c r="B10" s="36" t="str">
        <x:v>Use reversible molecular surface anchoring</x:v>
      </x:c>
      <x:c r="C10" s="15" t="str">
        <x:v>3 Engage / 4 Hold</x:v>
      </x:c>
      <x:c r="D10" s="15" t="str">
        <x:v>P07 Catechol / hydrogen-bond / coordination anchoring</x:v>
      </x:c>
      <x:c r="E10" s="15" t="str">
        <x:v>Mussel foot proteins rich in DOPA/catechol; adhesive peptides</x:v>
      </x:c>
      <x:c r="F10" s="15" t="str">
        <x:v>Bond strongly to wet, chemically diverse surfaces where water competes for the interface.</x:v>
      </x:c>
      <x:c r="G10" s="15" t="str">
        <x:v>Expose adhesive motifs → displace/compete with interfacial water → form multiple reversible/covalent interactions → crosslink for cohesion.</x:v>
      </x:c>
      <x:c r="H10" s="15" t="str">
        <x:v>Contact; pH/ions/oxidation can modulate</x:v>
      </x:c>
      <x:c r="I10" s="15" t="str">
        <x:v>Strong wet interfacial bonding</x:v>
      </x:c>
      <x:c r="J10" s="15" t="str">
        <x:v>Catechol/DOPA-like groups; peptides/polymers</x:v>
      </x:c>
      <x:c r="K10" s="15" t="str">
        <x:v>Molecular interface</x:v>
      </x:c>
      <x:c r="L10" s="15" t="str">
        <x:v>Diffusion/rearrangement at interface</x:v>
      </x:c>
      <x:c r="M10" s="15" t="str">
        <x:v>Chemical/molecular anchoring</x:v>
      </x:c>
      <x:c r="N10" s="15" t="str">
        <x:v>Molecular → tissue/component</x:v>
      </x:c>
      <x:c r="O10" s="15" t="str">
        <x:v>Seconds to hours depending curing</x:v>
      </x:c>
      <x:c r="P10" s="15" t="str">
        <x:v>Repeatable if bonds reversible; otherwise limited</x:v>
      </x:c>
      <x:c r="Q10" s="15" t="str">
        <x:v>Wet adhesion; tissue adhesion; coating adhesion</x:v>
      </x:c>
      <x:c r="R10" s="15" t="str">
        <x:v>Use multiple complementary weak/strong interactions at the interface so adhesion survives water and surface chemistry variability.</x:v>
      </x:c>
      <x:c r="S10" s="15" t="str">
        <x:v>Wet tissue; underwater surfaces; coatings; biomedical interfaces</x:v>
      </x:c>
      <x:c r="T10" s="15" t="str">
        <x:v>Oxidation state and curing can trade reversibility for strength</x:v>
      </x:c>
      <x:c r="U10" s="15" t="str">
        <x:v>Interfacial contamination; wrong pH/oxidation; cohesive failure</x:v>
      </x:c>
      <x:c r="V10" s="15" t="str">
        <x:v>NA07, NA08, NA15</x:v>
      </x:c>
      <x:c r="W10" s="15" t="str">
        <x:v>Lee et al. 2006; Lee et al. 2007 Science; Ahn et al. 2015; Lee et al. 2020</x:v>
      </x:c>
      <x:c r="X10" s="15" t="str">
        <x:v>Very high</x:v>
      </x:c>
    </x:row>
    <x:row r="11" ht="78" customHeight="1">
      <x:c r="A11" s="36" t="str">
        <x:v>NA07</x:v>
      </x:c>
      <x:c r="B11" s="36" t="str">
        <x:v>Combine structural + chemical adhesion</x:v>
      </x:c>
      <x:c r="C11" s="15" t="str">
        <x:v>2 Conform / 3 Engage / 4 Hold</x:v>
      </x:c>
      <x:c r="D11" s="15" t="str">
        <x:v>P02/P03 structural contact + P07 molecular anchoring; P12 suction where relevant</x:v>
      </x:c>
      <x:c r="E11" s="15" t="str">
        <x:v>Mussel + gecko hybrids; protein-coated octopus micro-suckers; clingfish-inspired wet pads</x:v>
      </x:c>
      <x:c r="F11" s="15" t="str">
        <x:v>Maintain intimate contact and strong bonding across dry/wet transitions or rough biological surfaces.</x:v>
      </x:c>
      <x:c r="G11" s="15" t="str">
        <x:v>Structure first establishes conformal/pressure-based contact → chemistry strengthens the wet interface → geometry distributes load and enables release.</x:v>
      </x:c>
      <x:c r="H11" s="15" t="str">
        <x:v>Contact + environment</x:v>
      </x:c>
      <x:c r="I11" s="15" t="str">
        <x:v>Hybrid attachment stronger than either mechanism alone</x:v>
      </x:c>
      <x:c r="J11" s="15" t="str">
        <x:v>Structured elastomer + adhesive coating/chemistry</x:v>
      </x:c>
      <x:c r="K11" s="15" t="str">
        <x:v>Microstructure + molecular interface</x:v>
      </x:c>
      <x:c r="L11" s="15" t="str">
        <x:v>Local deformation + molecular diffusion</x:v>
      </x:c>
      <x:c r="M11" s="15" t="str">
        <x:v>Hybrid structural/chemical bonding</x:v>
      </x:c>
      <x:c r="N11" s="15" t="str">
        <x:v>Nano → macro</x:v>
      </x:c>
      <x:c r="O11" s="15" t="str">
        <x:v>Immediate contact + slower bonding</x:v>
      </x:c>
      <x:c r="P11" s="15" t="str">
        <x:v>Often repeatable; chemistry-dependent</x:v>
      </x:c>
      <x:c r="Q11" s="15" t="str">
        <x:v>Wet/dry adhesion; robustness; application versatility</x:v>
      </x:c>
      <x:c r="R11" s="15" t="str">
        <x:v>Assign contact formation and interfacial bonding to separate mechanisms, then combine them rather than forcing one mechanism to solve both.</x:v>
      </x:c>
      <x:c r="S11" s="15" t="str">
        <x:v>Wet/dry cycling; tissue interfaces; irregular surfaces; robotic gripping</x:v>
      </x:c>
      <x:c r="T11" s="15" t="str">
        <x:v>More functions increase materials/process complexity</x:v>
      </x:c>
      <x:c r="U11" s="15" t="str">
        <x:v>Mechanisms interfere; coating blocks microstructure; chemistry reduces switchability</x:v>
      </x:c>
      <x:c r="V11" s="15" t="str">
        <x:v>NA02, NA06, NA10, NA15</x:v>
      </x:c>
      <x:c r="W11" s="15" t="str">
        <x:v>Geckel Nature 2007; protein-coated octopus patch 2020; diving-beetle inspired electrical adhesive 2022</x:v>
      </x:c>
      <x:c r="X11" s="15" t="str">
        <x:v>Very high</x:v>
      </x:c>
    </x:row>
    <x:row r="12" ht="78" customHeight="1">
      <x:c r="A12" s="36" t="str">
        <x:v>NA08</x:v>
      </x:c>
      <x:c r="B12" s="36" t="str">
        <x:v>Phase-separate and deliver adhesive without dilution</x:v>
      </x:c>
      <x:c r="C12" s="15" t="str">
        <x:v>3 Engage</x:v>
      </x:c>
      <x:c r="D12" s="15" t="str">
        <x:v>P08 Coacervation / liquid-liquid phase separation</x:v>
      </x:c>
      <x:c r="E12" s="15" t="str">
        <x:v>Mussel adhesive protein coacervates</x:v>
      </x:c>
      <x:c r="F12" s="15" t="str">
        <x:v>Deliver concentrated adhesive to a submerged interface without dispersing into surrounding water.</x:v>
      </x:c>
      <x:c r="G12" s="15" t="str">
        <x:v>Condense adhesive macromolecules into dense fluid phase → transport to interface → spread/displace water → cure/crosslink after placement.</x:v>
      </x:c>
      <x:c r="H12" s="15" t="str">
        <x:v>Ionic strength / pH / molecular interactions</x:v>
      </x:c>
      <x:c r="I12" s="15" t="str">
        <x:v>Localized concentrated adhesive phase</x:v>
      </x:c>
      <x:c r="J12" s="15" t="str">
        <x:v>Adhesive-rich coacervate / peptide phase</x:v>
      </x:c>
      <x:c r="K12" s="15" t="str">
        <x:v>Reservoir / secreted phase</x:v>
      </x:c>
      <x:c r="L12" s="15" t="str">
        <x:v>Flow / diffusion / phase separation</x:v>
      </x:c>
      <x:c r="M12" s="15" t="str">
        <x:v>Dense-phase delivery followed by anchoring</x:v>
      </x:c>
      <x:c r="N12" s="15" t="str">
        <x:v>Molecular → interface</x:v>
      </x:c>
      <x:c r="O12" s="15" t="str">
        <x:v>Seconds to minutes</x:v>
      </x:c>
      <x:c r="P12" s="15" t="str">
        <x:v>Depends on replenishment</x:v>
      </x:c>
      <x:c r="Q12" s="15" t="str">
        <x:v>Underwater deposition efficiency; bond formation; low dilution</x:v>
      </x:c>
      <x:c r="R12" s="15" t="str">
        <x:v>Separate delivery from curing: first create a dense mobile phase that reaches the target, then lock it in place.</x:v>
      </x:c>
      <x:c r="S12" s="15" t="str">
        <x:v>Underwater repair; injectable sealants; wet biological interfaces</x:v>
      </x:c>
      <x:c r="T12" s="15" t="str">
        <x:v>Phase stability window can be narrow</x:v>
      </x:c>
      <x:c r="U12" s="15" t="str">
        <x:v>Premature curing; dilution; poor wetting; phase separation absent</x:v>
      </x:c>
      <x:c r="V12" s="15" t="str">
        <x:v>NA06, NA07, NA15</x:v>
      </x:c>
      <x:c r="W12" s="15" t="str">
        <x:v>Ahn et al. 2015; mussel-peptide LLPS 2022</x:v>
      </x:c>
      <x:c r="X12" s="15" t="str">
        <x:v>Very high</x:v>
      </x:c>
    </x:row>
    <x:row r="13" ht="78" customHeight="1">
      <x:c r="A13" s="36" t="str">
        <x:v>NA09</x:v>
      </x:c>
      <x:c r="B13" s="36" t="str">
        <x:v>Dewet the interface before attaching</x:v>
      </x:c>
      <x:c r="C13" s="15" t="str">
        <x:v>2 Conform / 3 Engage</x:v>
      </x:c>
      <x:c r="D13" s="15" t="str">
        <x:v>P09 Dewetting / retained gas layer</x:v>
      </x:c>
      <x:c r="E13" s="15" t="str">
        <x:v>Leaf beetle underwater attachment using trapped air bubbles</x:v>
      </x:c>
      <x:c r="F13" s="15" t="str">
        <x:v>Create adhesion underwater even when liquid blocks intimate solid contact.</x:v>
      </x:c>
      <x:c r="G13" s="15" t="str">
        <x:v>Retain gas at hairy/hydrophobic pad → gas contacts substrate → locally displaces water → capillary/solid contact can form.</x:v>
      </x:c>
      <x:c r="H13" s="15" t="str">
        <x:v>Immersion + hydrophobic contact</x:v>
      </x:c>
      <x:c r="I13" s="15" t="str">
        <x:v>Local dry/low-water interface</x:v>
      </x:c>
      <x:c r="J13" s="15" t="str">
        <x:v>Trapped gas + surface geometry</x:v>
      </x:c>
      <x:c r="K13" s="15" t="str">
        <x:v>At interface</x:v>
      </x:c>
      <x:c r="L13" s="15" t="str">
        <x:v>Gas retention / meniscus motion</x:v>
      </x:c>
      <x:c r="M13" s="15" t="str">
        <x:v>Water displacement / dewetting</x:v>
      </x:c>
      <x:c r="N13" s="15" t="str">
        <x:v>Micro → interface</x:v>
      </x:c>
      <x:c r="O13" s="15" t="str">
        <x:v>Immediate</x:v>
      </x:c>
      <x:c r="P13" s="15" t="str">
        <x:v>Repeatable if gas retained/replenished</x:v>
      </x:c>
      <x:c r="Q13" s="15" t="str">
        <x:v>Underwater attachment; capillary restoration</x:v>
      </x:c>
      <x:c r="R13" s="15" t="str">
        <x:v>Treat interfacial liquid as an obstacle to remove locally before trying to bond through it.</x:v>
      </x:c>
      <x:c r="S13" s="15" t="str">
        <x:v>Underwater grippers; flooded surfaces; hydrophobic targets</x:v>
      </x:c>
      <x:c r="T13" s="15" t="str">
        <x:v>Gas layer is pressure- and time-sensitive</x:v>
      </x:c>
      <x:c r="U13" s="15" t="str">
        <x:v>Bubble loss; wetting transition; hydrophilic target defeats dewetting</x:v>
      </x:c>
      <x:c r="V13" s="15" t="str">
        <x:v>NA10, NA07</x:v>
      </x:c>
      <x:c r="W13" s="15" t="str">
        <x:v>Hosoda &amp; Gorb 2012</x:v>
      </x:c>
      <x:c r="X13" s="15" t="str">
        <x:v>High</x:v>
      </x:c>
    </x:row>
    <x:row r="14" ht="78" customHeight="1">
      <x:c r="A14" s="36" t="str">
        <x:v>NA10</x:v>
      </x:c>
      <x:c r="B14" s="36" t="str">
        <x:v>Generate wet friction through drainage and edge density</x:v>
      </x:c>
      <x:c r="C14" s="15" t="str">
        <x:v>2 Conform / 3 Engage / 4 Hold</x:v>
      </x:c>
      <x:c r="D14" s="15" t="str">
        <x:v>P10 Liquid drainage/capillary bridges; P11 viscous dissipation; P12 suction pressure; P13 wet friction</x:v>
      </x:c>
      <x:c r="E14" s="15" t="str">
        <x:v>Tree frog / torrent frog toe pads; clingfish discs; octopus suckers</x:v>
      </x:c>
      <x:c r="F14" s="15" t="str">
        <x:v>Maintain attachment on wet, flooded or rough surfaces where a lubricating liquid layer would otherwise cause slip.</x:v>
      </x:c>
      <x:c r="G14" s="15" t="str">
        <x:v>Channel/drain liquid → preserve contact edges and thin fluid bridges → use capillarity/viscous forces/friction and, in some models, pressure differential.</x:v>
      </x:c>
      <x:c r="H14" s="15" t="str">
        <x:v>Contact in presence of liquid; sometimes active pressure change</x:v>
      </x:c>
      <x:c r="I14" s="15" t="str">
        <x:v>Water is evacuated or controlled; friction/pressure rises</x:v>
      </x:c>
      <x:c r="J14" s="15" t="str">
        <x:v>Mucus/thin fluid; compliant pad geometry; trapped pressure differential</x:v>
      </x:c>
      <x:c r="K14" s="15" t="str">
        <x:v>Interface</x:v>
      </x:c>
      <x:c r="L14" s="15" t="str">
        <x:v>Drainage, capillary flow, local deformation</x:v>
      </x:c>
      <x:c r="M14" s="15" t="str">
        <x:v>Wet friction / capillary / suction-supported attachment</x:v>
      </x:c>
      <x:c r="N14" s="15" t="str">
        <x:v>Micro → whole pad</x:v>
      </x:c>
      <x:c r="O14" s="15" t="str">
        <x:v>Milliseconds to seconds</x:v>
      </x:c>
      <x:c r="P14" s="15" t="str">
        <x:v>Repeatable while geometry/fluid maintained</x:v>
      </x:c>
      <x:c r="Q14" s="15" t="str">
        <x:v>Wet adhesion; shear friction; flooded-surface grip</x:v>
      </x:c>
      <x:c r="R14" s="15" t="str">
        <x:v>Manage the interfacial liquid layer rather than ignoring it: provide drainage paths, many edges, compliant contact and/or local pressure differential.</x:v>
      </x:c>
      <x:c r="S14" s="15" t="str">
        <x:v>Flooded surfaces; skin; underwater robots; wet manufacturing</x:v>
      </x:c>
      <x:c r="T14" s="15" t="str">
        <x:v>Performance depends strongly on fluid properties, roughness and drainage time</x:v>
      </x:c>
      <x:c r="U14" s="15" t="str">
        <x:v>Hydroplaning; seal leakage; channels clog; suction cannot form</x:v>
      </x:c>
      <x:c r="V14" s="15" t="str">
        <x:v>NA07, NA09, NA14, NA15</x:v>
      </x:c>
      <x:c r="W14" s="15" t="str">
        <x:v>Torrent frog 2015; tree-frog structured hydrogels 2021; clingfish 2020/2022; octopus papers</x:v>
      </x:c>
      <x:c r="X14" s="15" t="str">
        <x:v>Very high</x:v>
      </x:c>
    </x:row>
    <x:row r="15" ht="78" customHeight="1">
      <x:c r="A15" s="36" t="str">
        <x:v>NA11</x:v>
      </x:c>
      <x:c r="B15" s="36" t="str">
        <x:v>Mechanically interlock after penetration</x:v>
      </x:c>
      <x:c r="C15" s="15" t="str">
        <x:v>3 Engage / 4 Hold</x:v>
      </x:c>
      <x:c r="D15" s="15" t="str">
        <x:v>P14 Barbs / asymmetric mechanical interlocking</x:v>
      </x:c>
      <x:c r="E15" s="15" t="str">
        <x:v>Porcupine quill barbs; parasite attachment structures</x:v>
      </x:c>
      <x:c r="F15" s="15" t="str">
        <x:v>Achieve strong attachment to soft tissue without relying only on surface chemistry.</x:v>
      </x:c>
      <x:c r="G15" s="15" t="str">
        <x:v>Penetrate with low-resistance geometry → backward/asymmetric features engage tissue → withdrawal requires larger deformation/energy.</x:v>
      </x:c>
      <x:c r="H15" s="15" t="str">
        <x:v>Insertion into compliant substrate</x:v>
      </x:c>
      <x:c r="I15" s="15" t="str">
        <x:v>High pull-out resistance</x:v>
      </x:c>
      <x:c r="J15" s="15" t="str">
        <x:v>Barbed or hook-like solid geometry</x:v>
      </x:c>
      <x:c r="K15" s="15" t="str">
        <x:v>Subsurface interface</x:v>
      </x:c>
      <x:c r="L15" s="15" t="str">
        <x:v>Mechanical insertion</x:v>
      </x:c>
      <x:c r="M15" s="15" t="str">
        <x:v>Mechanical interlock</x:v>
      </x:c>
      <x:c r="N15" s="15" t="str">
        <x:v>Micro → tissue</x:v>
      </x:c>
      <x:c r="O15" s="15" t="str">
        <x:v>Immediate</x:v>
      </x:c>
      <x:c r="P15" s="15" t="str">
        <x:v>Usually finite; tissue-dependent</x:v>
      </x:c>
      <x:c r="Q15" s="15" t="str">
        <x:v>Tissue fixation; pull-out resistance</x:v>
      </x:c>
      <x:c r="R15" s="15" t="str">
        <x:v>Use asymmetric geometry so entry and removal follow different mechanical pathways.</x:v>
      </x:c>
      <x:c r="S15" s="15" t="str">
        <x:v>Medical fixation; microneedles; soft materials</x:v>
      </x:c>
      <x:c r="T15" s="15" t="str">
        <x:v>Invasive attachment can damage substrate</x:v>
      </x:c>
      <x:c r="U15" s="15" t="str">
        <x:v>Excess tissue trauma; barb fracture; hard substrate incompatible</x:v>
      </x:c>
      <x:c r="V15" s="15" t="str">
        <x:v>NA12, NA15</x:v>
      </x:c>
      <x:c r="W15" s="15" t="str">
        <x:v>Cho et al. 2012 porcupine quill</x:v>
      </x:c>
      <x:c r="X15" s="15" t="str">
        <x:v>High</x:v>
      </x:c>
    </x:row>
    <x:row r="16" ht="78" customHeight="1">
      <x:c r="A16" s="36" t="str">
        <x:v>NA12</x:v>
      </x:c>
      <x:c r="B16" s="36" t="str">
        <x:v>Change shape after attachment</x:v>
      </x:c>
      <x:c r="C16" s="15" t="str">
        <x:v>3 Engage / 4 Hold / 5 Release</x:v>
      </x:c>
      <x:c r="D16" s="15" t="str">
        <x:v>P15 Post-attachment swelling / geometric transformation</x:v>
      </x:c>
      <x:c r="E16" s="15" t="str">
        <x:v>Spiny-headed worm proboscis; swelling tissue anchors</x:v>
      </x:c>
      <x:c r="F16" s="15" t="str">
        <x:v>Enter a target with low insertion force but lock strongly after placement.</x:v>
      </x:c>
      <x:c r="G16" s="15" t="str">
        <x:v>Insert in compact state → absorb fluid / activate stimulus → expand or change geometry → mechanical interlock forms → reverse stimulus if designed for release.</x:v>
      </x:c>
      <x:c r="H16" s="15" t="str">
        <x:v>Water / chemical / temperature / stimulus</x:v>
      </x:c>
      <x:c r="I16" s="15" t="str">
        <x:v>Geometry transforms to locked state</x:v>
      </x:c>
      <x:c r="J16" s="15" t="str">
        <x:v>Stimuli-responsive material</x:v>
      </x:c>
      <x:c r="K16" s="15" t="str">
        <x:v>At attachment site</x:v>
      </x:c>
      <x:c r="L16" s="15" t="str">
        <x:v>Swelling / actuation</x:v>
      </x:c>
      <x:c r="M16" s="15" t="str">
        <x:v>Post-placement geometric locking</x:v>
      </x:c>
      <x:c r="N16" s="15" t="str">
        <x:v>Micro → macro</x:v>
      </x:c>
      <x:c r="O16" s="15" t="str">
        <x:v>Seconds to minutes</x:v>
      </x:c>
      <x:c r="P16" s="15" t="str">
        <x:v>Potentially repeatable if reversible</x:v>
      </x:c>
      <x:c r="Q16" s="15" t="str">
        <x:v>High retention with low insertion force</x:v>
      </x:c>
      <x:c r="R16" s="15" t="str">
        <x:v>Decouple placement geometry from holding geometry by transforming only after the interface is established.</x:v>
      </x:c>
      <x:c r="S16" s="15" t="str">
        <x:v>Tissue anchors; deployable fasteners; soft robotics</x:v>
      </x:c>
      <x:c r="T16" s="15" t="str">
        <x:v>Response speed and environmental dependence</x:v>
      </x:c>
      <x:c r="U16" s="15" t="str">
        <x:v>Incomplete transformation; overexpansion; irreversible swelling</x:v>
      </x:c>
      <x:c r="V16" s="15" t="str">
        <x:v>NA11, NA15</x:v>
      </x:c>
      <x:c r="W16" s="15" t="str">
        <x:v>Yang et al. 2013 swellable microneedle</x:v>
      </x:c>
      <x:c r="X16" s="15" t="str">
        <x:v>Very high</x:v>
      </x:c>
    </x:row>
    <x:row r="17" ht="78" customHeight="1">
      <x:c r="A17" s="36" t="str">
        <x:v>NA13</x:v>
      </x:c>
      <x:c r="B17" s="36" t="str">
        <x:v>Coordinate multiple adhesive units as a system</x:v>
      </x:c>
      <x:c r="C17" s="15" t="str">
        <x:v>1 Approach / 3 Engage / 4 Hold / 5 Release</x:v>
      </x:c>
      <x:c r="D17" s="15" t="str">
        <x:v>P16 Cooperative/antagonistic multi-pad loading</x:v>
      </x:c>
      <x:c r="E17" s="15" t="str">
        <x:v>Spider opposing legs; gecko multi-digit feet</x:v>
      </x:c>
      <x:c r="F17" s="15" t="str">
        <x:v>Maintain whole-body attachment and stability while individual contacts attach and detach during motion.</x:v>
      </x:c>
      <x:c r="G17" s="15" t="str">
        <x:v>Distribute pads spatially → orient contacts relative to load → opposing units generate antagonistic shear → coordinate release sequence.</x:v>
      </x:c>
      <x:c r="H17" s="15" t="str">
        <x:v>Body posture / load vector / sensory-motor control</x:v>
      </x:c>
      <x:c r="I17" s="15" t="str">
        <x:v>System force exceeds simple sum of independent pads</x:v>
      </x:c>
      <x:c r="J17" s="15" t="str">
        <x:v>Multiple pads + structural controller</x:v>
      </x:c>
      <x:c r="K17" s="15" t="str">
        <x:v>System-wide</x:v>
      </x:c>
      <x:c r="L17" s="15" t="str">
        <x:v>Mechanical coordination / control</x:v>
      </x:c>
      <x:c r="M17" s="15" t="str">
        <x:v>Cooperative load sharing</x:v>
      </x:c>
      <x:c r="N17" s="15" t="str">
        <x:v>Component → system</x:v>
      </x:c>
      <x:c r="O17" s="15" t="str">
        <x:v>Milliseconds</x:v>
      </x:c>
      <x:c r="P17" s="15" t="str">
        <x:v>Highly repeatable</x:v>
      </x:c>
      <x:c r="Q17" s="15" t="str">
        <x:v>System stability; load sharing; maneuverable release</x:v>
      </x:c>
      <x:c r="R17" s="15" t="str">
        <x:v>Optimize the arrangement and coordination of contacts, not only the performance of each contact in isolation.</x:v>
      </x:c>
      <x:c r="S17" s="15" t="str">
        <x:v>Multi-finger grippers; climbing robots; wearable attachment systems</x:v>
      </x:c>
      <x:c r="T17" s="15" t="str">
        <x:v>Requires control/geometry coordination</x:v>
      </x:c>
      <x:c r="U17" s="15" t="str">
        <x:v>One pad overloads; load vector outside designed coordination; poor synchronization</x:v>
      </x:c>
      <x:c r="V17" s="15" t="str">
        <x:v>NA03, NA04, NA15</x:v>
      </x:c>
      <x:c r="W17" s="15" t="str">
        <x:v>Spider collective effect 2014; gecko digit orientation 2019</x:v>
      </x:c>
      <x:c r="X17" s="15" t="str">
        <x:v>Very high</x:v>
      </x:c>
    </x:row>
    <x:row r="18" ht="78" customHeight="1">
      <x:c r="A18" s="36" t="str">
        <x:v>NA14</x:v>
      </x:c>
      <x:c r="B18" s="36" t="str">
        <x:v>Regulate adhesion using environmental conditions</x:v>
      </x:c>
      <x:c r="C18" s="15" t="str">
        <x:v>3 Engage / 4 Hold / 5 Reset</x:v>
      </x:c>
      <x:c r="D18" s="15" t="str">
        <x:v>P11 Viscous-rate dependence; P17 humidity buffering / environmental adaptation</x:v>
      </x:c>
      <x:c r="E18" s="15" t="str">
        <x:v>Bee-collected pollen fluid; spider viscid glue; humidity-responsive gecko/insect pads</x:v>
      </x:c>
      <x:c r="F18" s="15" t="str">
        <x:v>Keep adhesion effective across changing humidity, temperature or separation speed.</x:v>
      </x:c>
      <x:c r="G18" s="15" t="str">
        <x:v>Environment changes water content/viscosity/compliance → adhesive response changes → protective phase or material chemistry buffers harmful variation.</x:v>
      </x:c>
      <x:c r="H18" s="15" t="str">
        <x:v>Humidity / rate / temperature</x:v>
      </x:c>
      <x:c r="I18" s="15" t="str">
        <x:v>Adhesion magnitude adapts to conditions</x:v>
      </x:c>
      <x:c r="J18" s="15" t="str">
        <x:v>Two-phase fluid, hygroscopic polymer, compliant surface</x:v>
      </x:c>
      <x:c r="K18" s="15" t="str">
        <x:v>Interface / coating</x:v>
      </x:c>
      <x:c r="L18" s="15" t="str">
        <x:v>Moisture exchange / viscous flow</x:v>
      </x:c>
      <x:c r="M18" s="15" t="str">
        <x:v>Environment-dependent capillary/viscous attachment</x:v>
      </x:c>
      <x:c r="N18" s="15" t="str">
        <x:v>Micro → macro</x:v>
      </x:c>
      <x:c r="O18" s="15" t="str">
        <x:v>Seconds to hours</x:v>
      </x:c>
      <x:c r="P18" s="15" t="str">
        <x:v>Repeatable if environment cycles reversibly</x:v>
      </x:c>
      <x:c r="Q18" s="15" t="str">
        <x:v>Humidity tolerance; rate-tunable adhesion; robustness</x:v>
      </x:c>
      <x:c r="R18" s="15" t="str">
        <x:v>Use environmental variables as controllable design inputs, and add a buffering layer when those variables would otherwise destabilize adhesion.</x:v>
      </x:c>
      <x:c r="S18" s="15" t="str">
        <x:v>Outdoor adhesives; wearables; particle handling; variable RH; dynamic detachment rates</x:v>
      </x:c>
      <x:c r="T18" s="15" t="str">
        <x:v>Adaptation may be beneficial only within a narrow optimum window</x:v>
      </x:c>
      <x:c r="U18" s="15" t="str">
        <x:v>Too wet/too dry; viscosity too high/low; response too slow</x:v>
      </x:c>
      <x:c r="V18" s="15" t="str">
        <x:v>NA04, NA10, NA15</x:v>
      </x:c>
      <x:c r="W18" s="15" t="str">
        <x:v>Shin et al. 2019 bee pollen; humidity-modulated gecko nanopillars 2020</x:v>
      </x:c>
      <x:c r="X18" s="15" t="str">
        <x:v>Very high</x:v>
      </x:c>
    </x:row>
    <x:row r="19" ht="78" customHeight="1">
      <x:c r="A19" s="36" t="str">
        <x:v>NA15</x:v>
      </x:c>
      <x:c r="B19" s="36" t="str">
        <x:v>Switch material state to attach / release</x:v>
      </x:c>
      <x:c r="C19" s="15" t="str">
        <x:v>3 Engage / 4 Hold / 5 Release-Reset</x:v>
      </x:c>
      <x:c r="D19" s="15" t="str">
        <x:v>P18 Reversible state change / active switching</x:v>
      </x:c>
      <x:c r="E19" s="15" t="str">
        <x:v>Snail epiphragm; gecko toe motion; octopus active suckers; stimuli-responsive mussel-inspired systems</x:v>
      </x:c>
      <x:c r="F19" s="15" t="str">
        <x:v>Combine very high holding force with easy, repeatable release on demand.</x:v>
      </x:c>
      <x:c r="G19" s="15" t="str">
        <x:v>Soft/conformal or low-adhesion state for placement → trigger changes stiffness/geometry/bonding/pressure → strong hold → reverse trigger or peel path for release.</x:v>
      </x:c>
      <x:c r="H19" s="15" t="str">
        <x:v>Water, heat, light, magnetic field, electric field, shear, pH, geometry change</x:v>
      </x:c>
      <x:c r="I19" s="15" t="str">
        <x:v>Large on/off adhesion ratio</x:v>
      </x:c>
      <x:c r="J19" s="15" t="str">
        <x:v>Stimuli-responsive material or actuated geometry</x:v>
      </x:c>
      <x:c r="K19" s="15" t="str">
        <x:v>Interface + device</x:v>
      </x:c>
      <x:c r="L19" s="15" t="str">
        <x:v>Diffusion / actuation / state transition</x:v>
      </x:c>
      <x:c r="M19" s="15" t="str">
        <x:v>Switchable adhesion / reversible locking</x:v>
      </x:c>
      <x:c r="N19" s="15" t="str">
        <x:v>Molecular → system</x:v>
      </x:c>
      <x:c r="O19" s="15" t="str">
        <x:v>Milliseconds to minutes</x:v>
      </x:c>
      <x:c r="P19" s="15" t="str">
        <x:v>Designed for many cycles</x:v>
      </x:c>
      <x:c r="Q19" s="15" t="str">
        <x:v>On-demand attachment/release; repositionability; automation</x:v>
      </x:c>
      <x:c r="R19" s="15" t="str">
        <x:v>Engineer a large, reliable difference between attachment state and release state rather than compromising at one intermediate adhesion level.</x:v>
      </x:c>
      <x:c r="S19" s="15" t="str">
        <x:v>Robotics; assembly; medical patches; reusable closures; transfer printing</x:v>
      </x:c>
      <x:c r="T19" s="15" t="str">
        <x:v>External trigger, response time and hysteresis add complexity</x:v>
      </x:c>
      <x:c r="U19" s="15" t="str">
        <x:v>Incomplete reset; trigger unavailable; environmental false activation</x:v>
      </x:c>
      <x:c r="V19" s="15" t="str">
        <x:v>NA03, NA06, NA12, NA13, NA14</x:v>
      </x:c>
      <x:c r="W19" s="15" t="str">
        <x:v>Snail epiphragm 2019; reversible underwater adhesive 2017; octopus switchable systems; Pang 2023</x:v>
      </x:c>
      <x:c r="X19" s="15" t="str">
        <x:v>Very high</x:v>
      </x:c>
    </x:row>
    <x:row r="20" ht="78" customHeight="1">
      <x:c r="A20" s="36"/>
      <x:c r="B20" s="36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</x:row>
  </x:sheetData>
  <x:mergeCells>
    <x:mergeCell ref="A1:X1"/>
    <x:mergeCell ref="A2:X2"/>
  </x:mergeCells>
  <x:pageMargins left="0.7" right="0.7" top="0.75" bottom="0.75" header="0.3" footer="0.3"/>
  <x:tableParts count="1">
    <x:tablePart xmlns:r="http://schemas.openxmlformats.org/officeDocument/2006/relationships" r:id="R23e63bec802e4714"/>
  </x:tableParts>
</x:worksheet>
</file>

<file path=xl/worksheets/sheet7.xml><?xml version="1.0" encoding="utf-8"?>
<x:worksheet xmlns:x="http://schemas.openxmlformats.org/spreadsheetml/2006/main">
  <x:sheetFormatPr defaultColWidth="8.6328125" defaultRowHeight="14.5"/>
  <x:cols>
    <x:col min="1" max="1" width="12" style="12" customWidth="1"/>
    <x:col min="2" max="2" width="30" style="12" customWidth="1"/>
    <x:col min="3" max="3" width="20" style="12" customWidth="1"/>
    <x:col min="4" max="4" width="32" style="12" customWidth="1"/>
    <x:col min="5" max="5" width="38" style="12" customWidth="1"/>
    <x:col min="6" max="6" width="25" style="12" customWidth="1"/>
    <x:col min="7" max="7" width="34" style="12" customWidth="1"/>
    <x:col min="8" max="8" width="22" style="12" customWidth="1"/>
    <x:col min="9" max="10" width="20" style="12" customWidth="1"/>
    <x:col min="11" max="11" width="18" style="12" customWidth="1"/>
    <x:col min="12" max="12" width="48" style="12" customWidth="1"/>
    <x:col min="13" max="13" width="22" style="12" customWidth="1"/>
    <x:col min="14" max="14" width="32" style="12" customWidth="1"/>
    <x:col min="15" max="15" width="36" style="12" customWidth="1"/>
  </x:cols>
  <x:sheetData>
    <x:row r="1" ht="20.899999618530273" customHeight="1">
      <x:c r="A1" s="6" t="str">
        <x:v>Biological Adhesion Primitives — the smallest reusable mechanisms beneath the 15 strategies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</x:row>
    <x:row r="2" ht="15" customHeight="1">
      <x:c r="A2" s="5" t="str">
        <x:v>Primitives describe the causal actions that natural attachment systems use: molecular attraction, contact splitting, hierarchy, directional loading, liquid management, pressure differentials, mechanical interlocking, state change and system coordination.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4">
      <x:c r="A4" s="14" t="str">
        <x:v>Primitive ID</x:v>
      </x:c>
      <x:c r="B4" s="14" t="str">
        <x:v>Primitive</x:v>
      </x:c>
      <x:c r="C4" s="14" t="str">
        <x:v>Status / mechanism class</x:v>
      </x:c>
      <x:c r="D4" s="14" t="str">
        <x:v>Nature examples</x:v>
      </x:c>
      <x:c r="E4" s="14" t="str">
        <x:v>Core action</x:v>
      </x:c>
      <x:c r="F4" s="14" t="str">
        <x:v>Trigger / recognition</x:v>
      </x:c>
      <x:c r="G4" s="14" t="str">
        <x:v>Material / resource behavior</x:v>
      </x:c>
      <x:c r="H4" s="14" t="str">
        <x:v>Transport</x:v>
      </x:c>
      <x:c r="I4" s="14" t="str">
        <x:v>Spatial logic</x:v>
      </x:c>
      <x:c r="J4" s="14" t="str">
        <x:v>Temporal logic</x:v>
      </x:c>
      <x:c r="K4" s="14" t="str">
        <x:v>Repeatability</x:v>
      </x:c>
      <x:c r="L4" s="14" t="str">
        <x:v>Engineering abstraction</x:v>
      </x:c>
      <x:c r="M4" s="14" t="str">
        <x:v>Ontology strategies</x:v>
      </x:c>
      <x:c r="N4" s="14" t="str">
        <x:v>Key limitation</x:v>
      </x:c>
      <x:c r="O4" s="14" t="str">
        <x:v>Evidence</x:v>
      </x:c>
    </x:row>
    <x:row r="5" ht="61.5" customHeight="1">
      <x:c r="A5" s="36" t="str">
        <x:v>P01</x:v>
      </x:c>
      <x:c r="B5" s="36" t="str">
        <x:v>van der Waals / dispersion attraction</x:v>
      </x:c>
      <x:c r="C5" s="36" t="str">
        <x:v>Physical interaction</x:v>
      </x:c>
      <x:c r="D5" s="15" t="str">
        <x:v>Gecko spatulae; spider setae</x:v>
      </x:c>
      <x:c r="E5" s="15" t="str">
        <x:v>Short-range intermolecular attraction between sufficiently close surfaces. Bring large area of clean surfaces to nanometre-scale separation.</x:v>
      </x:c>
      <x:c r="F5" s="15" t="str">
        <x:v>Dry or low-fluid interface</x:v>
      </x:c>
      <x:c r="G5" s="15" t="str">
        <x:v>No consumable material</x:v>
      </x:c>
      <x:c r="H5" s="15" t="str">
        <x:v>Local contact / deformation</x:v>
      </x:c>
      <x:c r="I5" s="15" t="str">
        <x:v>Nano</x:v>
      </x:c>
      <x:c r="J5" s="15" t="str">
        <x:v>Immediate to short-time</x:v>
      </x:c>
      <x:c r="K5" s="15" t="str">
        <x:v>Weak per contact; strong in aggregate</x:v>
      </x:c>
      <x:c r="L5" s="15" t="str">
        <x:v>Bring large area of clean surfaces to nanometre-scale separation.</x:v>
      </x:c>
      <x:c r="M5" s="15" t="str">
        <x:v>NA01, NA02</x:v>
      </x:c>
      <x:c r="N5" s="15" t="str">
        <x:v>Contamination or roughness prevents close approach</x:v>
      </x:c>
      <x:c r="O5" s="15" t="str">
        <x:v>Autumn 2002; nanoscale vdW literature — confidence Very high</x:v>
      </x:c>
    </x:row>
    <x:row r="6" ht="61.5" customHeight="1">
      <x:c r="A6" s="36" t="str">
        <x:v>P02</x:v>
      </x:c>
      <x:c r="B6" s="36" t="str">
        <x:v>Contact splitting</x:v>
      </x:c>
      <x:c r="C6" s="36" t="str">
        <x:v>Geometry</x:v>
      </x:c>
      <x:c r="D6" s="15" t="str">
        <x:v>Gecko; spider; beetle</x:v>
      </x:c>
      <x:c r="E6" s="15" t="str">
        <x:v>Divide a nominal contact into many smaller contacts to improve conformity and flaw tolerance. Increase number of independently deformable contacts while reducing individual contact size.</x:v>
      </x:c>
      <x:c r="F6" s="15" t="str">
        <x:v>Preload/contact</x:v>
      </x:c>
      <x:c r="G6" s="15" t="str">
        <x:v>Surface microstructures</x:v>
      </x:c>
      <x:c r="H6" s="15" t="str">
        <x:v>Local contact / deformation</x:v>
      </x:c>
      <x:c r="I6" s="15" t="str">
        <x:v>Nano–micro</x:v>
      </x:c>
      <x:c r="J6" s="15" t="str">
        <x:v>Immediate to short-time</x:v>
      </x:c>
      <x:c r="K6" s="15" t="str">
        <x:v>Repeatable</x:v>
      </x:c>
      <x:c r="L6" s="15" t="str">
        <x:v>Increase number of independently deformable contacts while reducing individual contact size.</x:v>
      </x:c>
      <x:c r="M6" s="15" t="str">
        <x:v>NA01, NA02</x:v>
      </x:c>
      <x:c r="N6" s="15" t="str">
        <x:v>Collapse/matting or insufficient area</x:v>
      </x:c>
      <x:c r="O6" s="15" t="str">
        <x:v>Autumn 2000; Kamperman 2010 — confidence Very high</x:v>
      </x:c>
    </x:row>
    <x:row r="7" ht="61.5" customHeight="1">
      <x:c r="A7" s="36" t="str">
        <x:v>P03</x:v>
      </x:c>
      <x:c r="B7" s="36" t="str">
        <x:v>Hierarchical fibrillation</x:v>
      </x:c>
      <x:c r="C7" s="36" t="str">
        <x:v>Architecture</x:v>
      </x:c>
      <x:c r="D7" s="15" t="str">
        <x:v>Gecko; spider</x:v>
      </x:c>
      <x:c r="E7" s="15" t="str">
        <x:v>Nest contact elements across multiple length scales. Assign different compliance/load-transfer roles to lamellae, setae, branches and terminal tips.</x:v>
      </x:c>
      <x:c r="F7" s="15" t="str">
        <x:v>Mechanical contact</x:v>
      </x:c>
      <x:c r="G7" s="15" t="str">
        <x:v>Hierarchical structure</x:v>
      </x:c>
      <x:c r="H7" s="15" t="str">
        <x:v>Local contact / deformation</x:v>
      </x:c>
      <x:c r="I7" s="15" t="str">
        <x:v>Nano→macro</x:v>
      </x:c>
      <x:c r="J7" s="15" t="str">
        <x:v>Immediate to short-time</x:v>
      </x:c>
      <x:c r="K7" s="15" t="str">
        <x:v>Repeatable</x:v>
      </x:c>
      <x:c r="L7" s="15" t="str">
        <x:v>Assign different compliance/load-transfer roles to lamellae, setae, branches and terminal tips.</x:v>
      </x:c>
      <x:c r="M7" s="15" t="str">
        <x:v>NA02</x:v>
      </x:c>
      <x:c r="N7" s="15" t="str">
        <x:v>Manufacturing defects; feature entanglement</x:v>
      </x:c>
      <x:c r="O7" s="15" t="str">
        <x:v>Ge et al. 2007; Murphy 2009 — confidence Very high</x:v>
      </x:c>
    </x:row>
    <x:row r="8" ht="61.5" customHeight="1">
      <x:c r="A8" s="36" t="str">
        <x:v>P04</x:v>
      </x:c>
      <x:c r="B8" s="36" t="str">
        <x:v>Directional shear engagement / peel release</x:v>
      </x:c>
      <x:c r="C8" s="36" t="str">
        <x:v>Mechanics/control</x:v>
      </x:c>
      <x:c r="D8" s="15" t="str">
        <x:v>Gecko; spider</x:v>
      </x:c>
      <x:c r="E8" s="15" t="str">
        <x:v>Attachment force depends strongly on loading direction and angle. Orient anisotropic features with load; reverse shear or introduce peel to detach.</x:v>
      </x:c>
      <x:c r="F8" s="15" t="str">
        <x:v>Shear/angle</x:v>
      </x:c>
      <x:c r="G8" s="15" t="str">
        <x:v>No consumable</x:v>
      </x:c>
      <x:c r="H8" s="15" t="str">
        <x:v>Local contact / deformation</x:v>
      </x:c>
      <x:c r="I8" s="15" t="str">
        <x:v>Micro→system</x:v>
      </x:c>
      <x:c r="J8" s="15" t="str">
        <x:v>Fast/reversible</x:v>
      </x:c>
      <x:c r="K8" s="15" t="str">
        <x:v>Repeatable</x:v>
      </x:c>
      <x:c r="L8" s="15" t="str">
        <x:v>Orient anisotropic features with load; reverse shear or introduce peel to detach.</x:v>
      </x:c>
      <x:c r="M8" s="15" t="str">
        <x:v>NA03, NA13, NA15</x:v>
      </x:c>
      <x:c r="N8" s="15" t="str">
        <x:v>Off-axis load causes early release</x:v>
      </x:c>
      <x:c r="O8" s="15" t="str">
        <x:v>Autumn 2000; Murphy 2009; Imburgia 2019 — confidence Very high</x:v>
      </x:c>
    </x:row>
    <x:row r="9" ht="61.5" customHeight="1">
      <x:c r="A9" s="36" t="str">
        <x:v>P05</x:v>
      </x:c>
      <x:c r="B9" s="36" t="str">
        <x:v>Compliance matching / anisotropic stiffness</x:v>
      </x:c>
      <x:c r="C9" s="36" t="str">
        <x:v>Mechanics</x:v>
      </x:c>
      <x:c r="D9" s="15" t="str">
        <x:v>Gecko toe pad; frog pad</x:v>
      </x:c>
      <x:c r="E9" s="15" t="str">
        <x:v>Compliant normal direction increases contact while stiff load path carries force. Use soft interfacial layer plus stiff backing/reinforcement in the load direction.</x:v>
      </x:c>
      <x:c r="F9" s="15" t="str">
        <x:v>Preload</x:v>
      </x:c>
      <x:c r="G9" s="15" t="str">
        <x:v>Elastic/graded materials</x:v>
      </x:c>
      <x:c r="H9" s="15" t="str">
        <x:v>Local contact / deformation</x:v>
      </x:c>
      <x:c r="I9" s="15" t="str">
        <x:v>Micro→system</x:v>
      </x:c>
      <x:c r="J9" s="15" t="str">
        <x:v>Immediate to short-time</x:v>
      </x:c>
      <x:c r="K9" s="15" t="str">
        <x:v>Repeatable</x:v>
      </x:c>
      <x:c r="L9" s="15" t="str">
        <x:v>Use soft interfacial layer plus stiff backing/reinforcement in the load direction.</x:v>
      </x:c>
      <x:c r="M9" s="15" t="str">
        <x:v>NA04</x:v>
      </x:c>
      <x:c r="N9" s="15" t="str">
        <x:v>Creep if too soft; low contact if too stiff</x:v>
      </x:c>
      <x:c r="O9" s="15" t="str">
        <x:v>Bartlett 2012; King &amp; Crosby 2015 — confidence Very high</x:v>
      </x:c>
    </x:row>
    <x:row r="10" ht="61.5" customHeight="1">
      <x:c r="A10" s="36" t="str">
        <x:v>P06</x:v>
      </x:c>
      <x:c r="B10" s="36" t="str">
        <x:v>Crack trapping / interfacial stress redistribution</x:v>
      </x:c>
      <x:c r="C10" s="36" t="str">
        <x:v>Fracture mechanics</x:v>
      </x:c>
      <x:c r="D10" s="15" t="str">
        <x:v>Fibrillar adhesive pads</x:v>
      </x:c>
      <x:c r="E10" s="15" t="str">
        <x:v>Structured interfaces arrest propagating detachment cracks. Use bridges, terminal films or segmentation to force repeated crack re-initiation.</x:v>
      </x:c>
      <x:c r="F10" s="15" t="str">
        <x:v>Interfacial loading</x:v>
      </x:c>
      <x:c r="G10" s="15" t="str">
        <x:v>Patterned elastic structure</x:v>
      </x:c>
      <x:c r="H10" s="15" t="str">
        <x:v>Local contact / deformation</x:v>
      </x:c>
      <x:c r="I10" s="15" t="str">
        <x:v>Micro→macro</x:v>
      </x:c>
      <x:c r="J10" s="15" t="str">
        <x:v>Immediate to short-time</x:v>
      </x:c>
      <x:c r="K10" s="15" t="str">
        <x:v>Repeatable if undamaged</x:v>
      </x:c>
      <x:c r="L10" s="15" t="str">
        <x:v>Use bridges, terminal films or segmentation to force repeated crack re-initiation.</x:v>
      </x:c>
      <x:c r="M10" s="15" t="str">
        <x:v>NA05</x:v>
      </x:c>
      <x:c r="N10" s="15" t="str">
        <x:v>Crack bypasses traps</x:v>
      </x:c>
      <x:c r="O10" s="15" t="str">
        <x:v>Glassmaker 2007 — confidence High</x:v>
      </x:c>
    </x:row>
    <x:row r="11" ht="61.5" customHeight="1">
      <x:c r="A11" s="36" t="str">
        <x:v>P07</x:v>
      </x:c>
      <x:c r="B11" s="36" t="str">
        <x:v>Catechol / multidentate molecular anchoring</x:v>
      </x:c>
      <x:c r="C11" s="36" t="str">
        <x:v>Molecular chemistry</x:v>
      </x:c>
      <x:c r="D11" s="15" t="str">
        <x:v>Mussel foot proteins</x:v>
      </x:c>
      <x:c r="E11" s="15" t="str">
        <x:v>Multiple reversible and covalent interactions anchor strongly in wet conditions. Present catechol/DOPA-like motifs with complementary charged/hydrophobic groups at interface.</x:v>
      </x:c>
      <x:c r="F11" s="15" t="str">
        <x:v>Contact; pH/ions/oxidation</x:v>
      </x:c>
      <x:c r="G11" s="15" t="str">
        <x:v>Adhesive polymer/peptide</x:v>
      </x:c>
      <x:c r="H11" s="15" t="str">
        <x:v>Local contact / deformation</x:v>
      </x:c>
      <x:c r="I11" s="15" t="str">
        <x:v>Molecular</x:v>
      </x:c>
      <x:c r="J11" s="15" t="str">
        <x:v>Immediate to short-time</x:v>
      </x:c>
      <x:c r="K11" s="15" t="str">
        <x:v>Reversible or curable</x:v>
      </x:c>
      <x:c r="L11" s="15" t="str">
        <x:v>Present catechol/DOPA-like motifs with complementary charged/hydrophobic groups at interface.</x:v>
      </x:c>
      <x:c r="M11" s="15" t="str">
        <x:v>NA06, NA07</x:v>
      </x:c>
      <x:c r="N11" s="15" t="str">
        <x:v>Oxidation reduces useful binding or causes cohesion loss</x:v>
      </x:c>
      <x:c r="O11" s="15" t="str">
        <x:v>Lee 2006; Lee 2007; Ahn 2015 — confidence Very high</x:v>
      </x:c>
    </x:row>
    <x:row r="12" ht="61.5" customHeight="1">
      <x:c r="A12" s="36" t="str">
        <x:v>P08</x:v>
      </x:c>
      <x:c r="B12" s="36" t="str">
        <x:v>Coacervation / liquid-liquid phase separation</x:v>
      </x:c>
      <x:c r="C12" s="36" t="str">
        <x:v>Phase behavior</x:v>
      </x:c>
      <x:c r="D12" s="15" t="str">
        <x:v>Mussel adhesive secretion</x:v>
      </x:c>
      <x:c r="E12" s="15" t="str">
        <x:v>Concentrate adhesive macromolecules into a dense mobile phase that resists dilution. Tune charge/H-bonding/hydrophobic balance to phase-separate before deposition.</x:v>
      </x:c>
      <x:c r="F12" s="15" t="str">
        <x:v>pH/ionic environment</x:v>
      </x:c>
      <x:c r="G12" s="15" t="str">
        <x:v>Dense adhesive phase</x:v>
      </x:c>
      <x:c r="H12" s="15" t="str">
        <x:v>Local fluid/interface motion</x:v>
      </x:c>
      <x:c r="I12" s="15" t="str">
        <x:v>Molecular→interface</x:v>
      </x:c>
      <x:c r="J12" s="15" t="str">
        <x:v>Immediate to short-time</x:v>
      </x:c>
      <x:c r="K12" s="15" t="str">
        <x:v>Replenishable if secreted</x:v>
      </x:c>
      <x:c r="L12" s="15" t="str">
        <x:v>Tune charge/H-bonding/hydrophobic balance to phase-separate before deposition.</x:v>
      </x:c>
      <x:c r="M12" s="15" t="str">
        <x:v>NA08, NA06</x:v>
      </x:c>
      <x:c r="N12" s="15" t="str">
        <x:v>No phase separation or premature gelation</x:v>
      </x:c>
      <x:c r="O12" s="15" t="str">
        <x:v>Ahn 2015; mussel peptide LLPS 2022 — confidence Very high</x:v>
      </x:c>
    </x:row>
    <x:row r="13" ht="61.5" customHeight="1">
      <x:c r="A13" s="36" t="str">
        <x:v>P09</x:v>
      </x:c>
      <x:c r="B13" s="36" t="str">
        <x:v>Interfacial dewetting / retained gas</x:v>
      </x:c>
      <x:c r="C13" s="36" t="str">
        <x:v>Fluid-interface control</x:v>
      </x:c>
      <x:c r="D13" s="15" t="str">
        <x:v>Leaf beetle underwater foot</x:v>
      </x:c>
      <x:c r="E13" s="15" t="str">
        <x:v>Displace liquid from the solid interface to recover dry/capillary contact. Trap gas in hydrophobic microstructures and maintain contact with substrate.</x:v>
      </x:c>
      <x:c r="F13" s="15" t="str">
        <x:v>Immersion/contact</x:v>
      </x:c>
      <x:c r="G13" s="15" t="str">
        <x:v>Trapped air</x:v>
      </x:c>
      <x:c r="H13" s="15" t="str">
        <x:v>Local fluid/interface motion</x:v>
      </x:c>
      <x:c r="I13" s="15" t="str">
        <x:v>Micro</x:v>
      </x:c>
      <x:c r="J13" s="15" t="str">
        <x:v>Immediate to short-time</x:v>
      </x:c>
      <x:c r="K13" s="15" t="str">
        <x:v>Repeatable while gas persists</x:v>
      </x:c>
      <x:c r="L13" s="15" t="str">
        <x:v>Trap gas in hydrophobic microstructures and maintain contact with substrate.</x:v>
      </x:c>
      <x:c r="M13" s="15" t="str">
        <x:v>NA09</x:v>
      </x:c>
      <x:c r="N13" s="15" t="str">
        <x:v>Bubble dissolves/escapes</x:v>
      </x:c>
      <x:c r="O13" s="15" t="str">
        <x:v>Hosoda &amp; Gorb 2012 — confidence High</x:v>
      </x:c>
    </x:row>
    <x:row r="14" ht="61.5" customHeight="1">
      <x:c r="A14" s="36" t="str">
        <x:v>P10</x:v>
      </x:c>
      <x:c r="B14" s="36" t="str">
        <x:v>Liquid drainage / capillary bridge formation</x:v>
      </x:c>
      <x:c r="C14" s="36" t="str">
        <x:v>Fluid mechanics</x:v>
      </x:c>
      <x:c r="D14" s="15" t="str">
        <x:v>Tree frog; torrent frog</x:v>
      </x:c>
      <x:c r="E14" s="15" t="str">
        <x:v>Manage thin liquid layer so it contributes rather than lubricates. Provide channels/edges, thin fluid films and compliant contact to create capillary bridges.</x:v>
      </x:c>
      <x:c r="F14" s="15" t="str">
        <x:v>Wet contact</x:v>
      </x:c>
      <x:c r="G14" s="15" t="str">
        <x:v>Mucus/thin liquid film</x:v>
      </x:c>
      <x:c r="H14" s="15" t="str">
        <x:v>Local fluid/interface motion</x:v>
      </x:c>
      <x:c r="I14" s="15" t="str">
        <x:v>Micro</x:v>
      </x:c>
      <x:c r="J14" s="15" t="str">
        <x:v>Immediate to short-time</x:v>
      </x:c>
      <x:c r="K14" s="15" t="str">
        <x:v>Repeatable</x:v>
      </x:c>
      <x:c r="L14" s="15" t="str">
        <x:v>Provide channels/edges, thin fluid films and compliant contact to create capillary bridges.</x:v>
      </x:c>
      <x:c r="M14" s="15" t="str">
        <x:v>NA10</x:v>
      </x:c>
      <x:c r="N14" s="15" t="str">
        <x:v>Hydroplaning or clogged channels</x:v>
      </x:c>
      <x:c r="O14" s="15" t="str">
        <x:v>Tree frog/torrent frog literature — confidence Very high</x:v>
      </x:c>
    </x:row>
    <x:row r="15" ht="61.5" customHeight="1">
      <x:c r="A15" s="36" t="str">
        <x:v>P11</x:v>
      </x:c>
      <x:c r="B15" s="36" t="str">
        <x:v>Viscous dissipation / rate-dependent liquid adhesion</x:v>
      </x:c>
      <x:c r="C15" s="36" t="str">
        <x:v>Fluid rheology</x:v>
      </x:c>
      <x:c r="D15" s="15" t="str">
        <x:v>Bee pollen fluid; spider glue</x:v>
      </x:c>
      <x:c r="E15" s="15" t="str">
        <x:v>Separation of viscous liquid bridges generates rate-sensitive adhesion. Tune viscosity and bridge geometry to increase resistance at desired withdrawal rate.</x:v>
      </x:c>
      <x:c r="F15" s="15" t="str">
        <x:v>Separation speed</x:v>
      </x:c>
      <x:c r="G15" s="15" t="str">
        <x:v>Viscous fluid</x:v>
      </x:c>
      <x:c r="H15" s="15" t="str">
        <x:v>Local fluid/interface motion</x:v>
      </x:c>
      <x:c r="I15" s="15" t="str">
        <x:v>Micro→macro</x:v>
      </x:c>
      <x:c r="J15" s="15" t="str">
        <x:v>Immediate to short-time</x:v>
      </x:c>
      <x:c r="K15" s="15" t="str">
        <x:v>Repeatable</x:v>
      </x:c>
      <x:c r="L15" s="15" t="str">
        <x:v>Tune viscosity and bridge geometry to increase resistance at desired withdrawal rate.</x:v>
      </x:c>
      <x:c r="M15" s="15" t="str">
        <x:v>NA10, NA14</x:v>
      </x:c>
      <x:c r="N15" s="15" t="str">
        <x:v>Too viscous to spread; too fluid to dissipate</x:v>
      </x:c>
      <x:c r="O15" s="15" t="str">
        <x:v>Shin et al. 2019 — confidence Very high</x:v>
      </x:c>
    </x:row>
    <x:row r="16" ht="61.5" customHeight="1">
      <x:c r="A16" s="36" t="str">
        <x:v>P12</x:v>
      </x:c>
      <x:c r="B16" s="36" t="str">
        <x:v>Pressure differential / microsuction</x:v>
      </x:c>
      <x:c r="C16" s="36" t="str">
        <x:v>Pressure mechanics</x:v>
      </x:c>
      <x:c r="D16" s="15" t="str">
        <x:v>Octopus sucker; clingfish disc</x:v>
      </x:c>
      <x:c r="E16" s="15" t="str">
        <x:v>Sealed compliant cavities create negative pressure during pull-off. Conform cavity rim, seal interface, deform cavity to lower pressure, maintain seal under load.</x:v>
      </x:c>
      <x:c r="F16" s="15" t="str">
        <x:v>Contact/deformation</x:v>
      </x:c>
      <x:c r="G16" s="15" t="str">
        <x:v>Compliant cavity + ambient fluid/air</x:v>
      </x:c>
      <x:c r="H16" s="15" t="str">
        <x:v>Local fluid/interface motion</x:v>
      </x:c>
      <x:c r="I16" s="15" t="str">
        <x:v>Micro→macro</x:v>
      </x:c>
      <x:c r="J16" s="15" t="str">
        <x:v>Immediate to short-time</x:v>
      </x:c>
      <x:c r="K16" s="15" t="str">
        <x:v>Repeatable</x:v>
      </x:c>
      <x:c r="L16" s="15" t="str">
        <x:v>Conform cavity rim, seal interface, deform cavity to lower pressure, maintain seal under load.</x:v>
      </x:c>
      <x:c r="M16" s="15" t="str">
        <x:v>NA10, NA07, NA15</x:v>
      </x:c>
      <x:c r="N16" s="15" t="str">
        <x:v>Leakage destroys pressure differential</x:v>
      </x:c>
      <x:c r="O16" s="15" t="str">
        <x:v>Octopus/clingfish papers 2020–2024 — confidence Very high</x:v>
      </x:c>
    </x:row>
    <x:row r="17" ht="61.5" customHeight="1">
      <x:c r="A17" s="36" t="str">
        <x:v>P13</x:v>
      </x:c>
      <x:c r="B17" s="36" t="str">
        <x:v>Wet friction / edge-density control</x:v>
      </x:c>
      <x:c r="C17" s="36" t="str">
        <x:v>Tribology</x:v>
      </x:c>
      <x:c r="D17" s="15" t="str">
        <x:v>Frog toe pads; clingfish papillae</x:v>
      </x:c>
      <x:c r="E17" s="15" t="str">
        <x:v>Many compliant edges and thin fluid films generate friction on wet rough surfaces. Increase perimeter/edge density, channel fluid and maintain conformal normal load.</x:v>
      </x:c>
      <x:c r="F17" s="15" t="str">
        <x:v>Shear on wet surface</x:v>
      </x:c>
      <x:c r="G17" s="15" t="str">
        <x:v>Structured pad</x:v>
      </x:c>
      <x:c r="H17" s="15" t="str">
        <x:v>Local contact / deformation</x:v>
      </x:c>
      <x:c r="I17" s="15" t="str">
        <x:v>Micro</x:v>
      </x:c>
      <x:c r="J17" s="15" t="str">
        <x:v>Immediate to short-time</x:v>
      </x:c>
      <x:c r="K17" s="15" t="str">
        <x:v>Repeatable</x:v>
      </x:c>
      <x:c r="L17" s="15" t="str">
        <x:v>Increase perimeter/edge density, channel fluid and maintain conformal normal load.</x:v>
      </x:c>
      <x:c r="M17" s="15" t="str">
        <x:v>NA10</x:v>
      </x:c>
      <x:c r="N17" s="15" t="str">
        <x:v>Low normal force or thick liquid layer</x:v>
      </x:c>
      <x:c r="O17" s="15" t="str">
        <x:v>Torrent frog 2015; clingfish 2020 — confidence High</x:v>
      </x:c>
    </x:row>
    <x:row r="18" ht="61.5" customHeight="1">
      <x:c r="A18" s="36" t="str">
        <x:v>P14</x:v>
      </x:c>
      <x:c r="B18" s="36" t="str">
        <x:v>Asymmetric barbs / mechanical interlocking</x:v>
      </x:c>
      <x:c r="C18" s="36" t="str">
        <x:v>Geometry/mechanics</x:v>
      </x:c>
      <x:c r="D18" s="15" t="str">
        <x:v>Porcupine quill</x:v>
      </x:c>
      <x:c r="E18" s="15" t="str">
        <x:v>Backward-facing features make withdrawal harder than insertion. Orient barbs/hooks to bend during insertion and engage during removal.</x:v>
      </x:c>
      <x:c r="F18" s="15" t="str">
        <x:v>Insertion</x:v>
      </x:c>
      <x:c r="G18" s="15" t="str">
        <x:v>Solid microstructure</x:v>
      </x:c>
      <x:c r="H18" s="15" t="str">
        <x:v>Local contact / deformation</x:v>
      </x:c>
      <x:c r="I18" s="15" t="str">
        <x:v>Micro→tissue</x:v>
      </x:c>
      <x:c r="J18" s="15" t="str">
        <x:v>Immediate to short-time</x:v>
      </x:c>
      <x:c r="K18" s="15" t="str">
        <x:v>Usually finite</x:v>
      </x:c>
      <x:c r="L18" s="15" t="str">
        <x:v>Orient barbs/hooks to bend during insertion and engage during removal.</x:v>
      </x:c>
      <x:c r="M18" s="15" t="str">
        <x:v>NA11</x:v>
      </x:c>
      <x:c r="N18" s="15" t="str">
        <x:v>Tissue damage; barb fracture</x:v>
      </x:c>
      <x:c r="O18" s="15" t="str">
        <x:v>Cho et al. 2012 — confidence Very high</x:v>
      </x:c>
    </x:row>
    <x:row r="19" ht="61.5" customHeight="1">
      <x:c r="A19" s="36" t="str">
        <x:v>P15</x:v>
      </x:c>
      <x:c r="B19" s="36" t="str">
        <x:v>Post-attachment swelling / shape transformation</x:v>
      </x:c>
      <x:c r="C19" s="36" t="str">
        <x:v>Responsive geometry</x:v>
      </x:c>
      <x:c r="D19" s="15" t="str">
        <x:v>Spiny-headed worm proboscis</x:v>
      </x:c>
      <x:c r="E19" s="15" t="str">
        <x:v>Geometry changes after placement to create a lock. Insert compact structure, then swell/expand/rotate after exposure to local stimulus.</x:v>
      </x:c>
      <x:c r="F19" s="15" t="str">
        <x:v>Water/chemical stimulus</x:v>
      </x:c>
      <x:c r="G19" s="15" t="str">
        <x:v>Responsive polymer</x:v>
      </x:c>
      <x:c r="H19" s="15" t="str">
        <x:v>Local contact / deformation</x:v>
      </x:c>
      <x:c r="I19" s="15" t="str">
        <x:v>Micro→macro</x:v>
      </x:c>
      <x:c r="J19" s="15" t="str">
        <x:v>Immediate to short-time</x:v>
      </x:c>
      <x:c r="K19" s="15" t="str">
        <x:v>Potentially repeatable</x:v>
      </x:c>
      <x:c r="L19" s="15" t="str">
        <x:v>Insert compact structure, then swell/expand/rotate after exposure to local stimulus.</x:v>
      </x:c>
      <x:c r="M19" s="15" t="str">
        <x:v>NA12, NA15</x:v>
      </x:c>
      <x:c r="N19" s="15" t="str">
        <x:v>Slow or incomplete transformation</x:v>
      </x:c>
      <x:c r="O19" s="15" t="str">
        <x:v>Yang et al. 2013 — confidence Very high</x:v>
      </x:c>
    </x:row>
    <x:row r="20" ht="61.5" customHeight="1">
      <x:c r="A20" s="36" t="str">
        <x:v>P16</x:v>
      </x:c>
      <x:c r="B20" s="36" t="str">
        <x:v>Cooperative multi-pad loading + environmental/state regulation</x:v>
      </x:c>
      <x:c r="C20" s="36" t="str">
        <x:v>System/control</x:v>
      </x:c>
      <x:c r="D20" s="15" t="str">
        <x:v>Spider opposing legs; bee pollen; snail epiphragm</x:v>
      </x:c>
      <x:c r="E20" s="15" t="str">
        <x:v>Whole-system attachment emerges from coordination and adaptive state, not isolated pad strength. Coordinate multiple contacts and alter stiffness/viscosity/adhesion state with load or environment.</x:v>
      </x:c>
      <x:c r="F20" s="15" t="str">
        <x:v>Load vector / humidity / water / external trigger</x:v>
      </x:c>
      <x:c r="G20" s="15" t="str">
        <x:v>Multiple pads or responsive material</x:v>
      </x:c>
      <x:c r="H20" s="15" t="str">
        <x:v>Mechanical coordination across system</x:v>
      </x:c>
      <x:c r="I20" s="15" t="str">
        <x:v>Interface→system</x:v>
      </x:c>
      <x:c r="J20" s="15" t="str">
        <x:v>Immediate to short-time</x:v>
      </x:c>
      <x:c r="K20" s="15" t="str">
        <x:v>Repeatable</x:v>
      </x:c>
      <x:c r="L20" s="15" t="str">
        <x:v>Coordinate multiple contacts and alter stiffness/viscosity/adhesion state with load or environment.</x:v>
      </x:c>
      <x:c r="M20" s="15" t="str">
        <x:v>NA13, NA14, NA15</x:v>
      </x:c>
      <x:c r="N20" s="15" t="str">
        <x:v>Desynchronization or unintended triggering</x:v>
      </x:c>
      <x:c r="O20" s="15" t="str">
        <x:v>Wohlfart 2014; Shin 2019; Cho 2019 — confidence Very high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acb56528bce349a3"/>
  </x:tableParts>
</x:worksheet>
</file>

<file path=xl/worksheets/sheet8.xml><?xml version="1.0" encoding="utf-8"?>
<x:worksheet xmlns:x="http://schemas.openxmlformats.org/spreadsheetml/2006/main">
  <x:sheetFormatPr defaultColWidth="8.6328125" defaultRowHeight="14.5"/>
  <x:cols>
    <x:col min="1" max="1" width="10" style="12" customWidth="1"/>
    <x:col min="2" max="2" width="20" style="12" customWidth="1"/>
    <x:col min="3" max="3" width="30" style="12" customWidth="1"/>
    <x:col min="4" max="4" width="34" style="12" customWidth="1"/>
    <x:col min="5" max="5" width="52" style="12" customWidth="1"/>
    <x:col min="6" max="6" width="18" style="12" customWidth="1"/>
    <x:col min="7" max="7" width="20" style="12" customWidth="1"/>
    <x:col min="8" max="8" width="32" style="12" customWidth="1"/>
    <x:col min="9" max="9" width="24" style="12" customWidth="1"/>
    <x:col min="10" max="11" width="20" style="12" customWidth="1"/>
    <x:col min="12" max="12" width="18" style="12" customWidth="1"/>
    <x:col min="13" max="13" width="50" style="12" customWidth="1"/>
    <x:col min="14" max="14" width="42" style="12" customWidth="1"/>
  </x:cols>
  <x:sheetData>
    <x:row r="1" ht="20.899999618530273" customHeight="1">
      <x:c r="A1" s="6" t="str">
        <x:v>Biological Models — natural systems as causal evidence anchors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15" customHeight="1">
      <x:c r="A2" s="5" t="str">
        <x:v>Models are stored separately from strategies: one organism may express several primitives, and the same strategy can be supported by multiple organisms. This prevents the engine from copying organism form without understanding attachment mechanism.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14" t="str">
        <x:v>Model ID</x:v>
      </x:c>
      <x:c r="B4" s="14" t="str">
        <x:v>Domain</x:v>
      </x:c>
      <x:c r="C4" s="14" t="str">
        <x:v>Biological model</x:v>
      </x:c>
      <x:c r="D4" s="14" t="str">
        <x:v>Adhesion challenge</x:v>
      </x:c>
      <x:c r="E4" s="14" t="str">
        <x:v>Natural response sequence</x:v>
      </x:c>
      <x:c r="F4" s="14" t="str">
        <x:v>Primitive IDs</x:v>
      </x:c>
      <x:c r="G4" s="14" t="str">
        <x:v>Strategy IDs</x:v>
      </x:c>
      <x:c r="H4" s="14" t="str">
        <x:v>Primary resources / energy</x:v>
      </x:c>
      <x:c r="I4" s="14" t="str">
        <x:v>Transport mode</x:v>
      </x:c>
      <x:c r="J4" s="14" t="str">
        <x:v>Spatial scale</x:v>
      </x:c>
      <x:c r="K4" s="14" t="str">
        <x:v>Temporal profile</x:v>
      </x:c>
      <x:c r="L4" s="14" t="str">
        <x:v>Repeatability</x:v>
      </x:c>
      <x:c r="M4" s="14" t="str">
        <x:v>Transferable rule</x:v>
      </x:c>
      <x:c r="N4" s="14" t="str">
        <x:v>Evidence / source</x:v>
      </x:c>
    </x:row>
    <x:row r="5" ht="69.75" customHeight="1">
      <x:c r="A5" s="36" t="str">
        <x:v>M01</x:v>
      </x:c>
      <x:c r="B5" s="36" t="str">
        <x:v>Animal</x:v>
      </x:c>
      <x:c r="C5" s="36" t="str">
        <x:v>Tokay gecko toe pad / seta</x:v>
      </x:c>
      <x:c r="D5" s="15" t="str">
        <x:v>Dry reversible adhesion on vertical/overhanging surfaces</x:v>
      </x:c>
      <x:c r="E5" s="15" t="str">
        <x:v>Lamellae → setae → branched spatulae; directional toe motion</x:v>
      </x:c>
      <x:c r="F5" s="15" t="str">
        <x:v>P01,P02,P03,P04,P05</x:v>
      </x:c>
      <x:c r="G5" s="15" t="str">
        <x:v>NA01,NA02,NA03,NA04</x:v>
      </x:c>
      <x:c r="H5" s="15" t="str">
        <x:v>No secreted glue; close contact needed; environment: Dry; humidity can modify</x:v>
      </x:c>
      <x:c r="I5" s="15" t="str">
        <x:v>Local contact / structural load transfer</x:v>
      </x:c>
      <x:c r="J5" s="15" t="str">
        <x:v>Smooth→moderately rough</x:v>
      </x:c>
      <x:c r="K5" s="15" t="str">
        <x:v>Very fast; thousands of cycles</x:v>
      </x:c>
      <x:c r="L5" s="15" t="str">
        <x:v>Highly repeatable / cyclic</x:v>
      </x:c>
      <x:c r="M5" s="15" t="str">
        <x:v>Climbing, gripping, reusable dry adhesive. Constraint: Contamination and roughness reduce contact; preload/orientation matter</x:v>
      </x:c>
      <x:c r="N5" s="15" t="str">
        <x:v>Autumn 2000/2002; Bartlett 2012 — confidence Very high</x:v>
      </x:c>
    </x:row>
    <x:row r="6" ht="69.75" customHeight="1">
      <x:c r="A6" s="36" t="str">
        <x:v>M02</x:v>
      </x:c>
      <x:c r="B6" s="36" t="str">
        <x:v>Animal/system</x:v>
      </x:c>
      <x:c r="C6" s="36" t="str">
        <x:v>Gecko multi-digit foot</x:v>
      </x:c>
      <x:c r="D6" s="15" t="str">
        <x:v>Scale body weight and stabilize attachment while moving</x:v>
      </x:c>
      <x:c r="E6" s="15" t="str">
        <x:v>Multiple digits oriented to load; compliant contact + stiff load path</x:v>
      </x:c>
      <x:c r="F6" s="15" t="str">
        <x:v>P04,P05,P16</x:v>
      </x:c>
      <x:c r="G6" s="15" t="str">
        <x:v>NA03,NA04,NA13</x:v>
      </x:c>
      <x:c r="H6" s="15" t="str">
        <x:v>Musculoskeletal actuation; environment: Dry/humid</x:v>
      </x:c>
      <x:c r="I6" s="15" t="str">
        <x:v>Mechanical coordination across pads</x:v>
      </x:c>
      <x:c r="J6" s="15" t="str">
        <x:v>Whole pad/system</x:v>
      </x:c>
      <x:c r="K6" s="15" t="str">
        <x:v>Milliseconds</x:v>
      </x:c>
      <x:c r="L6" s="15" t="str">
        <x:v>Context-dependent</x:v>
      </x:c>
      <x:c r="M6" s="15" t="str">
        <x:v>Climbing robots, large-area pads. Constraint: Load orientation and system compliance dominate</x:v>
      </x:c>
      <x:c r="N6" s="15" t="str">
        <x:v>Imburgia 2019 — confidence High</x:v>
      </x:c>
    </x:row>
    <x:row r="7" ht="69.75" customHeight="1">
      <x:c r="A7" s="36" t="str">
        <x:v>M03</x:v>
      </x:c>
      <x:c r="B7" s="36" t="str">
        <x:v>Animal</x:v>
      </x:c>
      <x:c r="C7" s="36" t="str">
        <x:v>Hunting spider scopulae / claw tufts</x:v>
      </x:c>
      <x:c r="D7" s="15" t="str">
        <x:v>Rapid climbing with coordinated multi-leg attachment</x:v>
      </x:c>
      <x:c r="E7" s="15" t="str">
        <x:v>Directional branched setae; opposing legs create antagonistic shear</x:v>
      </x:c>
      <x:c r="F7" s="15" t="str">
        <x:v>P01,P02,P03,P04,P16</x:v>
      </x:c>
      <x:c r="G7" s="15" t="str">
        <x:v>NA01,NA02,NA03,NA13</x:v>
      </x:c>
      <x:c r="H7" s="15" t="str">
        <x:v>Muscle-generated shear; environment: Dry</x:v>
      </x:c>
      <x:c r="I7" s="15" t="str">
        <x:v>Mechanical coordination across pads</x:v>
      </x:c>
      <x:c r="J7" s="15" t="str">
        <x:v>Micro→system</x:v>
      </x:c>
      <x:c r="K7" s="15" t="str">
        <x:v>Fast/repeatable</x:v>
      </x:c>
      <x:c r="L7" s="15" t="str">
        <x:v>Highly repeatable / cyclic</x:v>
      </x:c>
      <x:c r="M7" s="15" t="str">
        <x:v>Multi-pad grippers, climbing robots. Constraint: Whole &gt; sum of pads; control matters</x:v>
      </x:c>
      <x:c r="N7" s="15" t="str">
        <x:v>Wohlfart et al. 2014 — confidence Very high</x:v>
      </x:c>
    </x:row>
    <x:row r="8" ht="69.75" customHeight="1">
      <x:c r="A8" s="36" t="str">
        <x:v>M04</x:v>
      </x:c>
      <x:c r="B8" s="36" t="str">
        <x:v>Animal</x:v>
      </x:c>
      <x:c r="C8" s="36" t="str">
        <x:v>Ladybird / leaf beetle adhesive hairs</x:v>
      </x:c>
      <x:c r="D8" s="15" t="str">
        <x:v>Grip smooth plant surfaces; in some species operate underwater</x:v>
      </x:c>
      <x:c r="E8" s="15" t="str">
        <x:v>Hairy pads with secretion; capillary forces; hydrophobic bubble retention underwater</x:v>
      </x:c>
      <x:c r="F8" s="15" t="str">
        <x:v>P02,P09,P10,P13</x:v>
      </x:c>
      <x:c r="G8" s="15" t="str">
        <x:v>NA01,NA09,NA10</x:v>
      </x:c>
      <x:c r="H8" s="15" t="str">
        <x:v>Secretion + trapped air; environment: Dry/wet/underwater</x:v>
      </x:c>
      <x:c r="I8" s="15" t="str">
        <x:v>Interfacial fluid drainage / gas / pressure</x:v>
      </x:c>
      <x:c r="J8" s="15" t="str">
        <x:v>Micro</x:v>
      </x:c>
      <x:c r="K8" s="15" t="str">
        <x:v>Fast/repeatable</x:v>
      </x:c>
      <x:c r="L8" s="15" t="str">
        <x:v>Highly repeatable / cyclic</x:v>
      </x:c>
      <x:c r="M8" s="15" t="str">
        <x:v>Wet grippers, capillary adhesives. Constraint: Underwater success depends on surface wettability and bubble retention</x:v>
      </x:c>
      <x:c r="N8" s="15" t="str">
        <x:v>Hosoda &amp; Gorb 2012 — confidence High</x:v>
      </x:c>
    </x:row>
    <x:row r="9" ht="69.75" customHeight="1">
      <x:c r="A9" s="36" t="str">
        <x:v>M05</x:v>
      </x:c>
      <x:c r="B9" s="36" t="str">
        <x:v>Animal</x:v>
      </x:c>
      <x:c r="C9" s="36" t="str">
        <x:v>Tree frog toe pad</x:v>
      </x:c>
      <x:c r="D9" s="15" t="str">
        <x:v>Adhere/friction on wet leaves without sliding</x:v>
      </x:c>
      <x:c r="E9" s="15" t="str">
        <x:v>Compliant epithelial cells/nanopillars, mucus, drainage channels, high edge density</x:v>
      </x:c>
      <x:c r="F9" s="15" t="str">
        <x:v>P05,P10,P13</x:v>
      </x:c>
      <x:c r="G9" s="15" t="str">
        <x:v>NA04,NA10</x:v>
      </x:c>
      <x:c r="H9" s="15" t="str">
        <x:v>Thin mucus film; environment: Humid/wet</x:v>
      </x:c>
      <x:c r="I9" s="15" t="str">
        <x:v>Interfacial fluid drainage / gas / pressure</x:v>
      </x:c>
      <x:c r="J9" s="15" t="str">
        <x:v>Micro→pad</x:v>
      </x:c>
      <x:c r="K9" s="15" t="str">
        <x:v>Fast/repeatable</x:v>
      </x:c>
      <x:c r="L9" s="15" t="str">
        <x:v>Highly repeatable / cyclic</x:v>
      </x:c>
      <x:c r="M9" s="15" t="str">
        <x:v>Wearables, wet gripping, medical interfaces. Constraint: Fluid thickness and roughness critical</x:v>
      </x:c>
      <x:c r="N9" s="15" t="str">
        <x:v>Tree-frog papers 2020–2024 — confidence Very high</x:v>
      </x:c>
    </x:row>
    <x:row r="10" ht="69.75" customHeight="1">
      <x:c r="A10" s="36" t="str">
        <x:v>M06</x:v>
      </x:c>
      <x:c r="B10" s="36" t="str">
        <x:v>Animal</x:v>
      </x:c>
      <x:c r="C10" s="36" t="str">
        <x:v>Torrent frog toe pad</x:v>
      </x:c>
      <x:c r="D10" s="15" t="str">
        <x:v>Attach under flowing/flooded water</x:v>
      </x:c>
      <x:c r="E10" s="15" t="str">
        <x:v>Elongated microstructures, drainage, flexibility and friction</x:v>
      </x:c>
      <x:c r="F10" s="15" t="str">
        <x:v>P10,P13</x:v>
      </x:c>
      <x:c r="G10" s="15" t="str">
        <x:v>NA10,NA04</x:v>
      </x:c>
      <x:c r="H10" s="15" t="str">
        <x:v>Thin water/mucus layer; environment: Flooded/running water</x:v>
      </x:c>
      <x:c r="I10" s="15" t="str">
        <x:v>Interfacial fluid drainage / gas / pressure</x:v>
      </x:c>
      <x:c r="J10" s="15" t="str">
        <x:v>Micro→pad</x:v>
      </x:c>
      <x:c r="K10" s="15" t="str">
        <x:v>Fast/repeatable</x:v>
      </x:c>
      <x:c r="L10" s="15" t="str">
        <x:v>Highly repeatable / cyclic</x:v>
      </x:c>
      <x:c r="M10" s="15" t="str">
        <x:v>Wet industrial grip, underwater robotics. Constraint: Performance depends on flow and substrate roughness</x:v>
      </x:c>
      <x:c r="N10" s="15" t="str">
        <x:v>Iturri et al. 2015 — confidence Very high</x:v>
      </x:c>
    </x:row>
    <x:row r="11" ht="69.75" customHeight="1">
      <x:c r="A11" s="36" t="str">
        <x:v>M07</x:v>
      </x:c>
      <x:c r="B11" s="36" t="str">
        <x:v>Animal</x:v>
      </x:c>
      <x:c r="C11" s="36" t="str">
        <x:v>Octopus sucker</x:v>
      </x:c>
      <x:c r="D11" s="15" t="str">
        <x:v>Strong reversible wet attachment to irregular surfaces</x:v>
      </x:c>
      <x:c r="E11" s="15" t="str">
        <x:v>Compliant suction cup forms seal and pressure differential; muscular actuation controls release</x:v>
      </x:c>
      <x:c r="F11" s="15" t="str">
        <x:v>P12,P16</x:v>
      </x:c>
      <x:c r="G11" s="15" t="str">
        <x:v>NA10,NA15,NA07</x:v>
      </x:c>
      <x:c r="H11" s="15" t="str">
        <x:v>Muscle/pressure control; environment: Wet/underwater</x:v>
      </x:c>
      <x:c r="I11" s="15" t="str">
        <x:v>Interfacial fluid drainage / gas / pressure</x:v>
      </x:c>
      <x:c r="J11" s="15" t="str">
        <x:v>Micro→macro</x:v>
      </x:c>
      <x:c r="K11" s="15" t="str">
        <x:v>Fast/repeatable</x:v>
      </x:c>
      <x:c r="L11" s="15" t="str">
        <x:v>Highly repeatable / cyclic</x:v>
      </x:c>
      <x:c r="M11" s="15" t="str">
        <x:v>Soft robotic grippers, medical patches. Constraint: Seal leaks on rough/porous targets; active control may be needed</x:v>
      </x:c>
      <x:c r="N11" s="15" t="str">
        <x:v>Octopus papers 2020–2024 — confidence Very high</x:v>
      </x:c>
    </x:row>
    <x:row r="12" ht="69.75" customHeight="1">
      <x:c r="A12" s="36" t="str">
        <x:v>M08</x:v>
      </x:c>
      <x:c r="B12" s="36" t="str">
        <x:v>Animal</x:v>
      </x:c>
      <x:c r="C12" s="36" t="str">
        <x:v>Clingfish suction disc</x:v>
      </x:c>
      <x:c r="D12" s="15" t="str">
        <x:v>Hold onto rough wet rocks under waves</x:v>
      </x:c>
      <x:c r="E12" s="15" t="str">
        <x:v>Suction disc + papillae/friction + compliant perimeter seal</x:v>
      </x:c>
      <x:c r="F12" s="15" t="str">
        <x:v>P12,P13,P05</x:v>
      </x:c>
      <x:c r="G12" s="15" t="str">
        <x:v>NA10,NA04,NA07</x:v>
      </x:c>
      <x:c r="H12" s="15" t="str">
        <x:v>Body deformation; environment: Wet/underwater/rough</x:v>
      </x:c>
      <x:c r="I12" s="15" t="str">
        <x:v>Interfacial fluid drainage / gas / pressure</x:v>
      </x:c>
      <x:c r="J12" s="15" t="str">
        <x:v>Pad/system</x:v>
      </x:c>
      <x:c r="K12" s="15" t="str">
        <x:v>Fast/repeatable</x:v>
      </x:c>
      <x:c r="L12" s="15" t="str">
        <x:v>Highly repeatable / cyclic</x:v>
      </x:c>
      <x:c r="M12" s="15" t="str">
        <x:v>Underwater attachment, wet robotics. Constraint: Roughness can help friction but challenge sealing</x:v>
      </x:c>
      <x:c r="N12" s="15" t="str">
        <x:v>Clingfish papers 2020/2022 — confidence High</x:v>
      </x:c>
    </x:row>
    <x:row r="13" ht="69.75" customHeight="1">
      <x:c r="A13" s="36" t="str">
        <x:v>M09</x:v>
      </x:c>
      <x:c r="B13" s="36" t="str">
        <x:v>Animal</x:v>
      </x:c>
      <x:c r="C13" s="36" t="str">
        <x:v>Remora adhesive disc</x:v>
      </x:c>
      <x:c r="D13" s="15" t="str">
        <x:v>Reversible attachment to moving hosts</x:v>
      </x:c>
      <x:c r="E13" s="15" t="str">
        <x:v>Lamellar disc with spinules, pressure/friction and controllable loading</x:v>
      </x:c>
      <x:c r="F13" s="15" t="str">
        <x:v>P12,P13,P16</x:v>
      </x:c>
      <x:c r="G13" s="15" t="str">
        <x:v>NA10,NA13,NA15</x:v>
      </x:c>
      <x:c r="H13" s="15" t="str">
        <x:v>Body motion; environment: Underwater</x:v>
      </x:c>
      <x:c r="I13" s="15" t="str">
        <x:v>Interfacial fluid drainage / gas / pressure</x:v>
      </x:c>
      <x:c r="J13" s="15" t="str">
        <x:v>System</x:v>
      </x:c>
      <x:c r="K13" s="15" t="str">
        <x:v>Fast/repeatable</x:v>
      </x:c>
      <x:c r="L13" s="15" t="str">
        <x:v>Highly repeatable / cyclic</x:v>
      </x:c>
      <x:c r="M13" s="15" t="str">
        <x:v>Marine robots, hitchhiking sensors. Constraint: Host curvature/flow affect performance</x:v>
      </x:c>
      <x:c r="N13" s="15" t="str">
        <x:v>Remora bioadhesion literature — confidence Medium–High</x:v>
      </x:c>
    </x:row>
    <x:row r="14" ht="69.75" customHeight="1">
      <x:c r="A14" s="36" t="str">
        <x:v>M10</x:v>
      </x:c>
      <x:c r="B14" s="36" t="str">
        <x:v>Animal biochemical</x:v>
      </x:c>
      <x:c r="C14" s="36" t="str">
        <x:v>Marine mussel foot protein / DOPA</x:v>
      </x:c>
      <x:c r="D14" s="15" t="str">
        <x:v>Bond to mineral/organic surfaces under seawater</x:v>
      </x:c>
      <x:c r="E14" s="15" t="str">
        <x:v>Catechol/DOPA, lysine, charged/hydrophobic motifs; oxidative curing and cohesion</x:v>
      </x:c>
      <x:c r="F14" s="15" t="str">
        <x:v>P07</x:v>
      </x:c>
      <x:c r="G14" s="15" t="str">
        <x:v>NA06,NA07</x:v>
      </x:c>
      <x:c r="H14" s="15" t="str">
        <x:v>pH, ions, oxidation; environment: Wet/seawater</x:v>
      </x:c>
      <x:c r="I14" s="15" t="str">
        <x:v>Local diffusion / interfacial rearrangement</x:v>
      </x:c>
      <x:c r="J14" s="15" t="str">
        <x:v>Molecular→interface</x:v>
      </x:c>
      <x:c r="K14" s="15" t="str">
        <x:v>Seconds→hours</x:v>
      </x:c>
      <x:c r="L14" s="15" t="str">
        <x:v>Potentially repeatable if state can reset</x:v>
      </x:c>
      <x:c r="M14" s="15" t="str">
        <x:v>Tissue glue, coatings, underwater repair. Constraint: Oxidation and curing window affect reversibility</x:v>
      </x:c>
      <x:c r="N14" s="15" t="str">
        <x:v>Lee 2006; Lee 2007; Lee 2020 — confidence Very high</x:v>
      </x:c>
    </x:row>
    <x:row r="15" ht="69.75" customHeight="1">
      <x:c r="A15" s="36" t="str">
        <x:v>M11</x:v>
      </x:c>
      <x:c r="B15" s="36" t="str">
        <x:v>Animal biochemical</x:v>
      </x:c>
      <x:c r="C15" s="36" t="str">
        <x:v>Mussel adhesive coacervate</x:v>
      </x:c>
      <x:c r="D15" s="15" t="str">
        <x:v>Deliver adhesive through water without dilution</x:v>
      </x:c>
      <x:c r="E15" s="15" t="str">
        <x:v>Liquid-liquid phase separation concentrates adhesive proteins before deposition</x:v>
      </x:c>
      <x:c r="F15" s="15" t="str">
        <x:v>P08,P07</x:v>
      </x:c>
      <x:c r="G15" s="15" t="str">
        <x:v>NA08,NA06</x:v>
      </x:c>
      <x:c r="H15" s="15" t="str">
        <x:v>pH/ionic strength; environment: Underwater</x:v>
      </x:c>
      <x:c r="I15" s="15" t="str">
        <x:v>Dense-phase flow / diffusion</x:v>
      </x:c>
      <x:c r="J15" s="15" t="str">
        <x:v>Molecular</x:v>
      </x:c>
      <x:c r="K15" s="15" t="str">
        <x:v>Fast deposition</x:v>
      </x:c>
      <x:c r="L15" s="15" t="str">
        <x:v>Highly repeatable / cyclic</x:v>
      </x:c>
      <x:c r="M15" s="15" t="str">
        <x:v>Injectable/wet adhesives. Constraint: Phase window can be narrow</x:v>
      </x:c>
      <x:c r="N15" s="15" t="str">
        <x:v>Ahn 2015; mussel peptide LLPS 2022 — confidence Very high</x:v>
      </x:c>
    </x:row>
    <x:row r="16" ht="69.75" customHeight="1">
      <x:c r="A16" s="36" t="str">
        <x:v>M12</x:v>
      </x:c>
      <x:c r="B16" s="36" t="str">
        <x:v>Animal secretion/material</x:v>
      </x:c>
      <x:c r="C16" s="36" t="str">
        <x:v>Snail epiphragm</x:v>
      </x:c>
      <x:c r="D16" s="15" t="str">
        <x:v>Hold body strongly for long periods but later detach</x:v>
      </x:c>
      <x:c r="E16" s="15" t="str">
        <x:v>Wet secretion conforms; drying stiffens/locks; rewetting softens and releases</x:v>
      </x:c>
      <x:c r="F16" s="15" t="str">
        <x:v>P05,P16</x:v>
      </x:c>
      <x:c r="G16" s="15" t="str">
        <x:v>NA15,NA04</x:v>
      </x:c>
      <x:c r="H16" s="15" t="str">
        <x:v>Water content; environment: Drying/rewetting cycle</x:v>
      </x:c>
      <x:c r="I16" s="15" t="str">
        <x:v>Local contact / structural load transfer</x:v>
      </x:c>
      <x:c r="J16" s="15" t="str">
        <x:v>Interface→macro</x:v>
      </x:c>
      <x:c r="K16" s="15" t="str">
        <x:v>Minutes/hours</x:v>
      </x:c>
      <x:c r="L16" s="15" t="str">
        <x:v>Potentially repeatable if state can reset</x:v>
      </x:c>
      <x:c r="M16" s="15" t="str">
        <x:v>Reusable high-load closures, assembly. Constraint: Water-trigger may be unsuitable in rain/wet service</x:v>
      </x:c>
      <x:c r="N16" s="15" t="str">
        <x:v>Cho et al. 2019 — confidence Very high</x:v>
      </x:c>
    </x:row>
    <x:row r="17" ht="69.75" customHeight="1">
      <x:c r="A17" s="36" t="str">
        <x:v>M13</x:v>
      </x:c>
      <x:c r="B17" s="36" t="str">
        <x:v>Animal structure</x:v>
      </x:c>
      <x:c r="C17" s="36" t="str">
        <x:v>Porcupine quill barb</x:v>
      </x:c>
      <x:c r="D17" s="15" t="str">
        <x:v>Penetrate tissue easily yet resist removal</x:v>
      </x:c>
      <x:c r="E17" s="15" t="str">
        <x:v>Microscopic backward-facing barbs reduce insertion force and increase pull-out resistance</x:v>
      </x:c>
      <x:c r="F17" s="15" t="str">
        <x:v>P14</x:v>
      </x:c>
      <x:c r="G17" s="15" t="str">
        <x:v>NA11</x:v>
      </x:c>
      <x:c r="H17" s="15" t="str">
        <x:v>Insertion load; environment: Soft tissue</x:v>
      </x:c>
      <x:c r="I17" s="15" t="str">
        <x:v>Insertion / local deformation</x:v>
      </x:c>
      <x:c r="J17" s="15" t="str">
        <x:v>Micro</x:v>
      </x:c>
      <x:c r="K17" s="15" t="str">
        <x:v>Immediate</x:v>
      </x:c>
      <x:c r="L17" s="15" t="str">
        <x:v>Context-dependent</x:v>
      </x:c>
      <x:c r="M17" s="15" t="str">
        <x:v>Tissue fixation, needles. Constraint: Invasive; substrate damage</x:v>
      </x:c>
      <x:c r="N17" s="15" t="str">
        <x:v>Cho et al. 2012 — confidence Very high</x:v>
      </x:c>
    </x:row>
    <x:row r="18" ht="69.75" customHeight="1">
      <x:c r="A18" s="36" t="str">
        <x:v>M14</x:v>
      </x:c>
      <x:c r="B18" s="36" t="str">
        <x:v>Parasite</x:v>
      </x:c>
      <x:c r="C18" s="36" t="str">
        <x:v>Spiny-headed worm proboscis</x:v>
      </x:c>
      <x:c r="D18" s="15" t="str">
        <x:v>Secure attachment inside compliant host tissue</x:v>
      </x:c>
      <x:c r="E18" s="15" t="str">
        <x:v>Inserted structures swell/expand and mechanically interlock</x:v>
      </x:c>
      <x:c r="F18" s="15" t="str">
        <x:v>P15,P14</x:v>
      </x:c>
      <x:c r="G18" s="15" t="str">
        <x:v>NA12,NA11</x:v>
      </x:c>
      <x:c r="H18" s="15" t="str">
        <x:v>Fluid-triggered swelling; environment: Wet tissue</x:v>
      </x:c>
      <x:c r="I18" s="15" t="str">
        <x:v>Insertion / local deformation</x:v>
      </x:c>
      <x:c r="J18" s="15" t="str">
        <x:v>Micro</x:v>
      </x:c>
      <x:c r="K18" s="15" t="str">
        <x:v>Minutes</x:v>
      </x:c>
      <x:c r="L18" s="15" t="str">
        <x:v>Potentially repeatable if state can reset</x:v>
      </x:c>
      <x:c r="M18" s="15" t="str">
        <x:v>Microneedle patches, tissue anchors. Constraint: Response must be controlled to avoid injury</x:v>
      </x:c>
      <x:c r="N18" s="15" t="str">
        <x:v>Yang et al. 2013 — confidence Very high</x:v>
      </x:c>
    </x:row>
    <x:row r="19" ht="69.75" customHeight="1">
      <x:c r="A19" s="36" t="str">
        <x:v>M15</x:v>
      </x:c>
      <x:c r="B19" s="36" t="str">
        <x:v>Plant–animal composite</x:v>
      </x:c>
      <x:c r="C19" s="36" t="str">
        <x:v>Bee-collected pollen adhesive / pollenkitt</x:v>
      </x:c>
      <x:c r="D19" s="15" t="str">
        <x:v>Secure heavy pollen loads across variable humidity and motion</x:v>
      </x:c>
      <x:c r="E19" s="15" t="str">
        <x:v>Sugary viscous aqueous phase provides rate-dependent adhesion; oil cloak buffers water exchange</x:v>
      </x:c>
      <x:c r="F19" s="15" t="str">
        <x:v>P11,P16</x:v>
      </x:c>
      <x:c r="G19" s="15" t="str">
        <x:v>NA14,NA10</x:v>
      </x:c>
      <x:c r="H19" s="15" t="str">
        <x:v>Humidity + separation rate; environment: 15–75% RH; varying rates</x:v>
      </x:c>
      <x:c r="I19" s="15" t="str">
        <x:v>Interfacial fluid drainage / gas / pressure</x:v>
      </x:c>
      <x:c r="J19" s="15" t="str">
        <x:v>Micro→macro</x:v>
      </x:c>
      <x:c r="K19" s="15" t="str">
        <x:v>Dynamic; reversible</x:v>
      </x:c>
      <x:c r="L19" s="15" t="str">
        <x:v>Highly repeatable / cyclic</x:v>
      </x:c>
      <x:c r="M19" s="15" t="str">
        <x:v>Humidity-tolerant PSA, MEMS transfer, construction/medicine. Constraint: Optimum humidity; too dry/too wet reduces adhesion</x:v>
      </x:c>
      <x:c r="N19" s="15" t="str">
        <x:v>Shin et al. 2019 — confidence Very high</x:v>
      </x:c>
    </x:row>
    <x:row r="20" ht="69.75" customHeight="1">
      <x:c r="A20" s="36" t="str">
        <x:v>M16</x:v>
      </x:c>
      <x:c r="B20" s="36" t="str">
        <x:v>Animal secretion</x:v>
      </x:c>
      <x:c r="C20" s="36" t="str">
        <x:v>Spider viscid capture glue</x:v>
      </x:c>
      <x:c r="D20" s="15" t="str">
        <x:v>Maintain prey capture adhesion across humidity changes</x:v>
      </x:c>
      <x:c r="E20" s="15" t="str">
        <x:v>Hygroscopic salts/proteins tune water content and viscosity</x:v>
      </x:c>
      <x:c r="F20" s="15" t="str">
        <x:v>P11,P16</x:v>
      </x:c>
      <x:c r="G20" s="15" t="str">
        <x:v>NA14</x:v>
      </x:c>
      <x:c r="H20" s="15" t="str">
        <x:v>Ambient moisture; environment: Humidity</x:v>
      </x:c>
      <x:c r="I20" s="15" t="str">
        <x:v>Local contact / structural load transfer</x:v>
      </x:c>
      <x:c r="J20" s="15" t="str">
        <x:v>Micro</x:v>
      </x:c>
      <x:c r="K20" s="15" t="str">
        <x:v>Dynamic</x:v>
      </x:c>
      <x:c r="L20" s="15" t="str">
        <x:v>Highly repeatable / cyclic</x:v>
      </x:c>
      <x:c r="M20" s="15" t="str">
        <x:v>Humidity-adaptive adhesive droplets. Constraint: Excess/insufficient humidity changes spreading/viscosity</x:v>
      </x:c>
      <x:c r="N20" s="15" t="str">
        <x:v>Spider glue literature — confidence High</x:v>
      </x:c>
    </x:row>
    <x:row r="21" ht="69.75" customHeight="1">
      <x:c r="A21" s="36" t="str">
        <x:v>M17</x:v>
      </x:c>
      <x:c r="B21" s="36" t="str">
        <x:v>Animal</x:v>
      </x:c>
      <x:c r="C21" s="36" t="str">
        <x:v>Gecko humidity-responsive setae</x:v>
      </x:c>
      <x:c r="D21" s="15" t="str">
        <x:v>Maintain dry adhesion as ambient moisture changes</x:v>
      </x:c>
      <x:c r="E21" s="15" t="str">
        <x:v>Absorbed moisture changes surface compliance/capillary contribution</x:v>
      </x:c>
      <x:c r="F21" s="15" t="str">
        <x:v>P05,P16</x:v>
      </x:c>
      <x:c r="G21" s="15" t="str">
        <x:v>NA14,NA04</x:v>
      </x:c>
      <x:c r="H21" s="15" t="str">
        <x:v>Ambient water; environment: Humidity</x:v>
      </x:c>
      <x:c r="I21" s="15" t="str">
        <x:v>Local contact / structural load transfer</x:v>
      </x:c>
      <x:c r="J21" s="15" t="str">
        <x:v>Nano→micro</x:v>
      </x:c>
      <x:c r="K21" s="15" t="str">
        <x:v>Reversible</x:v>
      </x:c>
      <x:c r="L21" s="15" t="str">
        <x:v>Context-dependent</x:v>
      </x:c>
      <x:c r="M21" s="15" t="str">
        <x:v>Outdoor dry adhesive. Constraint: Humidity may help or hurt depending surface chemistry</x:v>
      </x:c>
      <x:c r="N21" s="15" t="str">
        <x:v>Humidity gecko studies; 2020 core-shell nanopillars — confidence High</x:v>
      </x:c>
    </x:row>
    <x:row r="22" ht="69.75" customHeight="1">
      <x:c r="A22" s="36" t="str">
        <x:v>M18</x:v>
      </x:c>
      <x:c r="B22" s="36" t="str">
        <x:v>Hybrid bioinspiration</x:v>
      </x:c>
      <x:c r="C22" s="36" t="str">
        <x:v>Mussel–gecko hybrid ('geckel')</x:v>
      </x:c>
      <x:c r="D22" s="15" t="str">
        <x:v>Combine reversible fibrillar dry adhesion with strong wet chemistry</x:v>
      </x:c>
      <x:c r="E22" s="15" t="str">
        <x:v>Gecko-like nanopillars coated with mussel-mimetic polymer</x:v>
      </x:c>
      <x:c r="F22" s="15" t="str">
        <x:v>P02,P03,P07</x:v>
      </x:c>
      <x:c r="G22" s="15" t="str">
        <x:v>NA07,NA06,NA02</x:v>
      </x:c>
      <x:c r="H22" s="15" t="str">
        <x:v>Contact; environment: Dry and wet</x:v>
      </x:c>
      <x:c r="I22" s="15" t="str">
        <x:v>Local diffusion / interfacial rearrangement</x:v>
      </x:c>
      <x:c r="J22" s="15" t="str">
        <x:v>Nano→macro</x:v>
      </x:c>
      <x:c r="K22" s="15" t="str">
        <x:v>Fast; many cycles</x:v>
      </x:c>
      <x:c r="L22" s="15" t="str">
        <x:v>Highly repeatable / cyclic</x:v>
      </x:c>
      <x:c r="M22" s="15" t="str">
        <x:v>Wet/dry robotic feet, reusable attachment. Constraint: Coating thickness must not block fibril mechanics</x:v>
      </x:c>
      <x:c r="N22" s="15" t="str">
        <x:v>Lee et al. 2007 Nature — confidence Very high</x:v>
      </x:c>
    </x:row>
    <x:row r="23" ht="69.75" customHeight="1">
      <x:c r="A23" s="36" t="str">
        <x:v>M19</x:v>
      </x:c>
      <x:c r="B23" s="36" t="str">
        <x:v>Animal</x:v>
      </x:c>
      <x:c r="C23" s="36" t="str">
        <x:v>Diving beetle / insect adhesive pad</x:v>
      </x:c>
      <x:c r="D23" s="15" t="str">
        <x:v>Attach in wet environments while supporting sensing/electronics inspiration</x:v>
      </x:c>
      <x:c r="E23" s="15" t="str">
        <x:v>Hierarchical microstructure + hydrophobic/wet-tolerant interface</x:v>
      </x:c>
      <x:c r="F23" s="15" t="str">
        <x:v>P02,P10,P13</x:v>
      </x:c>
      <x:c r="G23" s="15" t="str">
        <x:v>NA07,NA10,NA02</x:v>
      </x:c>
      <x:c r="H23" s="15" t="str">
        <x:v>Contact; environment: Wet/dry</x:v>
      </x:c>
      <x:c r="I23" s="15" t="str">
        <x:v>Interfacial fluid drainage / gas / pressure</x:v>
      </x:c>
      <x:c r="J23" s="15" t="str">
        <x:v>Micro</x:v>
      </x:c>
      <x:c r="K23" s="15" t="str">
        <x:v>Repeatable</x:v>
      </x:c>
      <x:c r="L23" s="15" t="str">
        <x:v>Highly repeatable / cyclic</x:v>
      </x:c>
      <x:c r="M23" s="15" t="str">
        <x:v>Bioelectronics, water-repellent adhesive devices. Constraint: Complex fabrication</x:v>
      </x:c>
      <x:c r="N23" s="15" t="str">
        <x:v>AFM 2022 bioinspired electrical adhesive — confidence High</x:v>
      </x:c>
    </x:row>
    <x:row r="24" ht="69.75" customHeight="1">
      <x:c r="A24" s="36" t="str">
        <x:v>M20</x:v>
      </x:c>
      <x:c r="B24" s="36" t="str">
        <x:v>Animal</x:v>
      </x:c>
      <x:c r="C24" s="36" t="str">
        <x:v>Clingfish sucker nanofilaments</x:v>
      </x:c>
      <x:c r="D24" s="15" t="str">
        <x:v>Combine soft compliant sealing with robust friction/structural support</x:v>
      </x:c>
      <x:c r="E24" s="15" t="str">
        <x:v>Hard nanofilaments brace softer mucus/pad structure</x:v>
      </x:c>
      <x:c r="F24" s="15" t="str">
        <x:v>P05,P12,P13</x:v>
      </x:c>
      <x:c r="G24" s="15" t="str">
        <x:v>NA10,NA04,NA07</x:v>
      </x:c>
      <x:c r="H24" s="15" t="str">
        <x:v>Contact + pressure; environment: Underwater</x:v>
      </x:c>
      <x:c r="I24" s="15" t="str">
        <x:v>Interfacial fluid drainage / gas / pressure</x:v>
      </x:c>
      <x:c r="J24" s="15" t="str">
        <x:v>Nano→pad</x:v>
      </x:c>
      <x:c r="K24" s="15" t="str">
        <x:v>Fast</x:v>
      </x:c>
      <x:c r="L24" s="15" t="str">
        <x:v>Highly repeatable / cyclic</x:v>
      </x:c>
      <x:c r="M24" s="15" t="str">
        <x:v>Wet adhesives, soft robotics. Constraint: Hard/soft balance required</x:v>
      </x:c>
      <x:c r="N24" s="15" t="str">
        <x:v>Langmuir 2022 — confidence High</x:v>
      </x:c>
    </x:row>
    <x:row r="25" ht="69.75" customHeight="1">
      <x:c r="A25" s="36" t="str">
        <x:v>M21</x:v>
      </x:c>
      <x:c r="B25" s="36" t="str">
        <x:v>Synthetic bioinspired model</x:v>
      </x:c>
      <x:c r="C25" s="36" t="str">
        <x:v>Gecko-inspired mushroom microfibrils</x:v>
      </x:c>
      <x:c r="D25" s="15" t="str">
        <x:v>Generate high, controllable dry adhesion</x:v>
      </x:c>
      <x:c r="E25" s="15" t="str">
        <x:v>Wide tips reduce edge stress; angled stems provide directional loading</x:v>
      </x:c>
      <x:c r="F25" s="15" t="str">
        <x:v>P02,P04,P06</x:v>
      </x:c>
      <x:c r="G25" s="15" t="str">
        <x:v>NA01,NA03,NA05</x:v>
      </x:c>
      <x:c r="H25" s="15" t="str">
        <x:v>Preload/shear; environment: Dry</x:v>
      </x:c>
      <x:c r="I25" s="15" t="str">
        <x:v>Local contact / structural load transfer</x:v>
      </x:c>
      <x:c r="J25" s="15" t="str">
        <x:v>Micro</x:v>
      </x:c>
      <x:c r="K25" s="15" t="str">
        <x:v>Repeatable</x:v>
      </x:c>
      <x:c r="L25" s="15" t="str">
        <x:v>Highly repeatable / cyclic</x:v>
      </x:c>
      <x:c r="M25" s="15" t="str">
        <x:v>Robotics, transfer printing. Constraint: Feature collapse/contamination</x:v>
      </x:c>
      <x:c r="N25" s="15" t="str">
        <x:v>Murphy et al. 2009 — confidence High</x:v>
      </x:c>
    </x:row>
    <x:row r="26" ht="69.75" customHeight="1">
      <x:c r="A26" s="36" t="str">
        <x:v>M22</x:v>
      </x:c>
      <x:c r="B26" s="36" t="str">
        <x:v>Synthetic bioinspired model</x:v>
      </x:c>
      <x:c r="C26" s="36" t="str">
        <x:v>Film-terminated fibrillar surface</x:v>
      </x:c>
      <x:c r="D26" s="15" t="str">
        <x:v>Increase fault tolerance and work of adhesion</x:v>
      </x:c>
      <x:c r="E26" s="15" t="str">
        <x:v>Thin film couples fibrils, increases crack trapping and contact continuity</x:v>
      </x:c>
      <x:c r="F26" s="15" t="str">
        <x:v>P06,P05</x:v>
      </x:c>
      <x:c r="G26" s="15" t="str">
        <x:v>NA05,NA04</x:v>
      </x:c>
      <x:c r="H26" s="15" t="str">
        <x:v>Load; environment: Dry/wet depending material</x:v>
      </x:c>
      <x:c r="I26" s="15" t="str">
        <x:v>Local contact / structural load transfer</x:v>
      </x:c>
      <x:c r="J26" s="15" t="str">
        <x:v>Micro→macro</x:v>
      </x:c>
      <x:c r="K26" s="15" t="str">
        <x:v>Repeatable</x:v>
      </x:c>
      <x:c r="L26" s="15" t="str">
        <x:v>Highly repeatable / cyclic</x:v>
      </x:c>
      <x:c r="M26" s="15" t="str">
        <x:v>Reusable pads, wafer handling. Constraint: Film toughness/release force tradeoff</x:v>
      </x:c>
      <x:c r="N26" s="15" t="str">
        <x:v>Glassmaker/Noderer literature — confidence High</x:v>
      </x:c>
    </x:row>
    <x:row r="27" ht="69.75" customHeight="1">
      <x:c r="A27" s="36" t="str">
        <x:v>M23</x:v>
      </x:c>
      <x:c r="B27" s="36" t="str">
        <x:v>Synthetic bioinspired model</x:v>
      </x:c>
      <x:c r="C27" s="36" t="str">
        <x:v>Foam-backed functionally graded dry adhesive</x:v>
      </x:c>
      <x:c r="D27" s="15" t="str">
        <x:v>Scale compliant contact and energy dissipation beyond microfibrils</x:v>
      </x:c>
      <x:c r="E27" s="15" t="str">
        <x:v>Soft porous backing increases compliance and hysteresis while terminal film forms contact</x:v>
      </x:c>
      <x:c r="F27" s="15" t="str">
        <x:v>P05,P06</x:v>
      </x:c>
      <x:c r="G27" s="15" t="str">
        <x:v>NA04,NA05</x:v>
      </x:c>
      <x:c r="H27" s="15" t="str">
        <x:v>Preload; environment: Dry</x:v>
      </x:c>
      <x:c r="I27" s="15" t="str">
        <x:v>Local contact / structural load transfer</x:v>
      </x:c>
      <x:c r="J27" s="15" t="str">
        <x:v>Macro backing + interface</x:v>
      </x:c>
      <x:c r="K27" s="15" t="str">
        <x:v>Repeatable</x:v>
      </x:c>
      <x:c r="L27" s="15" t="str">
        <x:v>Highly repeatable / cyclic</x:v>
      </x:c>
      <x:c r="M27" s="15" t="str">
        <x:v>Fragile-object pick/place. Constraint: Too thick/soft can reduce load-path stiffness</x:v>
      </x:c>
      <x:c r="N27" s="15" t="str">
        <x:v>Liew 2017; attached thesis — confidence High</x:v>
      </x:c>
    </x:row>
    <x:row r="28" ht="69.75" customHeight="1">
      <x:c r="A28" s="36" t="str">
        <x:v>M24</x:v>
      </x:c>
      <x:c r="B28" s="36" t="str">
        <x:v>Synthetic bioinspired model</x:v>
      </x:c>
      <x:c r="C28" s="36" t="str">
        <x:v>Carbon-nanotube gecko tape</x:v>
      </x:c>
      <x:c r="D28" s="15" t="str">
        <x:v>Create hierarchical dry adhesive with high shear force and self-cleaning</x:v>
      </x:c>
      <x:c r="E28" s="15" t="str">
        <x:v>Patterned CNT forests mimic setae/spatulae; split contact and hierarchy maximize vdW contact</x:v>
      </x:c>
      <x:c r="F28" s="15" t="str">
        <x:v>P01,P02,P03</x:v>
      </x:c>
      <x:c r="G28" s="15" t="str">
        <x:v>NA01,NA02</x:v>
      </x:c>
      <x:c r="H28" s="15" t="str">
        <x:v>Preload/shear; environment: Dry; can be superhydrophobic</x:v>
      </x:c>
      <x:c r="I28" s="15" t="str">
        <x:v>Local contact / structural load transfer</x:v>
      </x:c>
      <x:c r="J28" s="15" t="str">
        <x:v>Nano→macro</x:v>
      </x:c>
      <x:c r="K28" s="15" t="str">
        <x:v>Repeatable</x:v>
      </x:c>
      <x:c r="L28" s="15" t="str">
        <x:v>Highly repeatable / cyclic</x:v>
      </x:c>
      <x:c r="M28" s="15" t="str">
        <x:v>Robotics, microelectronics, space. Constraint: Scale-up and CNT durability/handling</x:v>
      </x:c>
      <x:c r="N28" s="15" t="str">
        <x:v>Ge et al. 2007 / attached CNT file — confidence High</x:v>
      </x:c>
    </x:row>
    <x:row r="29" ht="69.75" customHeight="1">
      <x:c r="A29" s="36" t="str">
        <x:v>M25</x:v>
      </x:c>
      <x:c r="B29" s="36" t="str">
        <x:v>Synthetic bioinspired model</x:v>
      </x:c>
      <x:c r="C29" s="36" t="str">
        <x:v>Snail-inspired PHEMA state-switching adhesive</x:v>
      </x:c>
      <x:c r="D29" s="15" t="str">
        <x:v>High-load reversible attachment without fragile microfeatures</x:v>
      </x:c>
      <x:c r="E29" s="15" t="str">
        <x:v>Soft hydrated polymer conforms; drying stiffens and shape-locks; water reactivates release</x:v>
      </x:c>
      <x:c r="F29" s="15" t="str">
        <x:v>P05,P16</x:v>
      </x:c>
      <x:c r="G29" s="15" t="str">
        <x:v>NA15,NA04</x:v>
      </x:c>
      <x:c r="H29" s="15" t="str">
        <x:v>Moisture; environment: Water/drying</x:v>
      </x:c>
      <x:c r="I29" s="15" t="str">
        <x:v>Local contact / structural load transfer</x:v>
      </x:c>
      <x:c r="J29" s="15" t="str">
        <x:v>Macro</x:v>
      </x:c>
      <x:c r="K29" s="15" t="str">
        <x:v>Minutes</x:v>
      </x:c>
      <x:c r="L29" s="15" t="str">
        <x:v>Potentially repeatable if state can reset</x:v>
      </x:c>
      <x:c r="M29" s="15" t="str">
        <x:v>Assembly, reusable closures. Constraint: Water sensitivity and diffusion time</x:v>
      </x:c>
      <x:c r="N29" s="15" t="str">
        <x:v>Cho et al. 2019 — confidence Very high</x:v>
      </x:c>
    </x:row>
    <x:row r="30" ht="69.75" customHeight="1">
      <x:c r="A30" s="36" t="str">
        <x:v>M26</x:v>
      </x:c>
      <x:c r="B30" s="36" t="str">
        <x:v>Synthetic bioinspired model</x:v>
      </x:c>
      <x:c r="C30" s="36" t="str">
        <x:v>Mussel-inspired hydrogel tape / tissue adhesive</x:v>
      </x:c>
      <x:c r="D30" s="15" t="str">
        <x:v>Rapid wet tissue contact followed by stronger long-term bonding</x:v>
      </x:c>
      <x:c r="E30" s="15" t="str">
        <x:v>Fast physical adhesion + slower covalent bonding; tough hydrogel backing dissipates stress</x:v>
      </x:c>
      <x:c r="F30" s="15" t="str">
        <x:v>P07,P06</x:v>
      </x:c>
      <x:c r="G30" s="15" t="str">
        <x:v>NA06,NA05,NA15</x:v>
      </x:c>
      <x:c r="H30" s="15" t="str">
        <x:v>Contact/time; environment: Wet tissue</x:v>
      </x:c>
      <x:c r="I30" s="15" t="str">
        <x:v>Local diffusion / interfacial rearrangement</x:v>
      </x:c>
      <x:c r="J30" s="15" t="str">
        <x:v>Interface→tissue</x:v>
      </x:c>
      <x:c r="K30" s="15" t="str">
        <x:v>Seconds→minutes</x:v>
      </x:c>
      <x:c r="L30" s="15" t="str">
        <x:v>Potentially repeatable if state can reset</x:v>
      </x:c>
      <x:c r="M30" s="15" t="str">
        <x:v>Surgical adhesion, drug delivery. Constraint: Biocompatibility and removal requirements</x:v>
      </x:c>
      <x:c r="N30" s="15" t="str">
        <x:v>Nature Communications 2021 hydrogel tapes/buccal film — confidence Very high</x:v>
      </x:c>
    </x:row>
    <x:row r="31" ht="69.75" customHeight="1">
      <x:c r="A31" s="36" t="str">
        <x:v>M27</x:v>
      </x:c>
      <x:c r="B31" s="36" t="str">
        <x:v>Synthetic bioinspired model</x:v>
      </x:c>
      <x:c r="C31" s="36" t="str">
        <x:v>Octopus-inspired micro-sucker array</x:v>
      </x:c>
      <x:c r="D31" s="15" t="str">
        <x:v>Switchable wet attachment with high contact-area adaptability</x:v>
      </x:c>
      <x:c r="E31" s="15" t="str">
        <x:v>Microscale cavities form seals; external actuation can modulate cavity deformation</x:v>
      </x:c>
      <x:c r="F31" s="15" t="str">
        <x:v>P12,P16</x:v>
      </x:c>
      <x:c r="G31" s="15" t="str">
        <x:v>NA10,NA15</x:v>
      </x:c>
      <x:c r="H31" s="15" t="str">
        <x:v>Pressure/magnetic/thermal/electrical actuation; environment: Wet/dry depending design</x:v>
      </x:c>
      <x:c r="I31" s="15" t="str">
        <x:v>Interfacial fluid drainage / gas / pressure</x:v>
      </x:c>
      <x:c r="J31" s="15" t="str">
        <x:v>Micro→macro</x:v>
      </x:c>
      <x:c r="K31" s="15" t="str">
        <x:v>Fast</x:v>
      </x:c>
      <x:c r="L31" s="15" t="str">
        <x:v>Highly repeatable / cyclic</x:v>
      </x:c>
      <x:c r="M31" s="15" t="str">
        <x:v>Soft robots, transport, patches. Constraint: Seal formation on porous/rough surfaces</x:v>
      </x:c>
      <x:c r="N31" s="15" t="str">
        <x:v>ACS/Wiley octopus papers 2020–2024 — confidence Very high</x:v>
      </x:c>
    </x:row>
    <x:row r="32" ht="69.75" customHeight="1">
      <x:c r="A32" s="36" t="str">
        <x:v>M28</x:v>
      </x:c>
      <x:c r="B32" s="36" t="str">
        <x:v>Synthetic bioinspired model</x:v>
      </x:c>
      <x:c r="C32" s="36" t="str">
        <x:v>Tree-frog-inspired hydrogel / nanopillar pad</x:v>
      </x:c>
      <x:c r="D32" s="15" t="str">
        <x:v>Maintain adhesion/friction in perspiration or flooded interface</x:v>
      </x:c>
      <x:c r="E32" s="15" t="str">
        <x:v>Microchannels/nanopillars wick fluid and preserve contact; hydrogel chemistry adds conformability</x:v>
      </x:c>
      <x:c r="F32" s="15" t="str">
        <x:v>P10,P13,P05</x:v>
      </x:c>
      <x:c r="G32" s="15" t="str">
        <x:v>NA10,NA04,NA07</x:v>
      </x:c>
      <x:c r="H32" s="15" t="str">
        <x:v>Contact; environment: Humid/wet</x:v>
      </x:c>
      <x:c r="I32" s="15" t="str">
        <x:v>Interfacial fluid drainage / gas / pressure</x:v>
      </x:c>
      <x:c r="J32" s="15" t="str">
        <x:v>Micro</x:v>
      </x:c>
      <x:c r="K32" s="15" t="str">
        <x:v>Fast</x:v>
      </x:c>
      <x:c r="L32" s="15" t="str">
        <x:v>Highly repeatable / cyclic</x:v>
      </x:c>
      <x:c r="M32" s="15" t="str">
        <x:v>Wearables, skin patches. Constraint: Channel clogging; swelling changes mechanics</x:v>
      </x:c>
      <x:c r="N32" s="15" t="str">
        <x:v>2020–2024 tree-frog papers — confidence Very high</x:v>
      </x:c>
    </x:row>
    <x:row r="33" ht="69.75" customHeight="1">
      <x:c r="A33" s="36" t="str">
        <x:v>M29</x:v>
      </x:c>
      <x:c r="B33" s="36" t="str">
        <x:v>Synthetic bioinspired model</x:v>
      </x:c>
      <x:c r="C33" s="36" t="str">
        <x:v>Mussel-inspired peptide sequence adapter</x:v>
      </x:c>
      <x:c r="D33" s="15" t="str">
        <x:v>Tune surface-specific binding rather than relying on DOPA alone</x:v>
      </x:c>
      <x:c r="E33" s="15" t="str">
        <x:v>Strong and dynamic binding motifs cooperate; peptide changes conformation at surface</x:v>
      </x:c>
      <x:c r="F33" s="15" t="str">
        <x:v>P07</x:v>
      </x:c>
      <x:c r="G33" s="15" t="str">
        <x:v>NA06</x:v>
      </x:c>
      <x:c r="H33" s="15" t="str">
        <x:v>Surface recognition; environment: Wet/aqueous</x:v>
      </x:c>
      <x:c r="I33" s="15" t="str">
        <x:v>Local diffusion / interfacial rearrangement</x:v>
      </x:c>
      <x:c r="J33" s="15" t="str">
        <x:v>Molecular</x:v>
      </x:c>
      <x:c r="K33" s="15" t="str">
        <x:v>Fast</x:v>
      </x:c>
      <x:c r="L33" s="15" t="str">
        <x:v>Highly repeatable / cyclic</x:v>
      </x:c>
      <x:c r="M33" s="15" t="str">
        <x:v>Selective coatings, nanomaterial interfaces. Constraint: Sequence-specific; may not generalize across substrates</x:v>
      </x:c>
      <x:c r="N33" s="15" t="str">
        <x:v>Venkatareddy et al. 2019 — confidence High</x:v>
      </x:c>
    </x:row>
    <x:row r="34" ht="69.75" customHeight="1">
      <x:c r="A34" s="36" t="str">
        <x:v>M30</x:v>
      </x:c>
      <x:c r="B34" s="36" t="str">
        <x:v>Bio-derived engineering model</x:v>
      </x:c>
      <x:c r="C34" s="36" t="str">
        <x:v>Acrylic/nanocellulose microsphere PSA</x:v>
      </x:c>
      <x:c r="D34" s="15" t="str">
        <x:v>Improve tack/peel/shear cohesivity with renewable nanofiller</x:v>
      </x:c>
      <x:c r="E34" s="15" t="str">
        <x:v>Nanocellulose reduces particle size and adds H-bonding/stiffness, improving multiple adhesive metrics</x:v>
      </x:c>
      <x:c r="F34" s="15" t="str">
        <x:v>P05,P07</x:v>
      </x:c>
      <x:c r="G34" s="15" t="str">
        <x:v>NA04,NA06</x:v>
      </x:c>
      <x:c r="H34" s="15" t="str">
        <x:v>Pressure/contact; environment: Dry PSA</x:v>
      </x:c>
      <x:c r="I34" s="15" t="str">
        <x:v>Local diffusion / interfacial rearrangement</x:v>
      </x:c>
      <x:c r="J34" s="15" t="str">
        <x:v>Micro→macro</x:v>
      </x:c>
      <x:c r="K34" s="15" t="str">
        <x:v>Repeatable limited by PSA</x:v>
      </x:c>
      <x:c r="L34" s="15" t="str">
        <x:v>Highly repeatable / cyclic</x:v>
      </x:c>
      <x:c r="M34" s="15" t="str">
        <x:v>Labels, tapes, sustainable PSA. Constraint: Not a direct organism mimic; bio-derived rather than biomimetic mechanism</x:v>
      </x:c>
      <x:c r="N34" s="15" t="str">
        <x:v>Kajtna &amp; Šebenik 2017 — confidence Medium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088c2d02b36640f2"/>
  </x:tableParts>
</x:worksheet>
</file>

<file path=xl/worksheets/sheet9.xml><?xml version="1.0" encoding="utf-8"?>
<x:worksheet xmlns:x="http://schemas.openxmlformats.org/spreadsheetml/2006/main">
  <x:sheetFormatPr defaultColWidth="8.6328125" defaultRowHeight="14.5"/>
  <x:cols>
    <x:col min="1" max="2" width="34" style="12" customWidth="1"/>
    <x:col min="3" max="3" width="20" style="12" customWidth="1"/>
    <x:col min="4" max="4" width="22" style="12" customWidth="1"/>
    <x:col min="5" max="5" width="34" style="12" customWidth="1"/>
    <x:col min="6" max="6" width="52" style="12" customWidth="1"/>
    <x:col min="7" max="7" width="32" style="12" customWidth="1"/>
    <x:col min="8" max="8" width="34" style="12" customWidth="1"/>
    <x:col min="9" max="9" width="18" style="12" customWidth="1"/>
    <x:col min="10" max="10" width="34" style="12" customWidth="1"/>
  </x:cols>
  <x:sheetData>
    <x:row r="1" ht="20.899999618530273" customHeight="1">
      <x:c r="A1" s="6" t="str">
        <x:v>Challenge → Strategy reasoning rules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15" customHeight="1">
      <x:c r="A2" s="5" t="str">
        <x:v>Use this sheet as the retrieval layer: first classify interface state, substrate, load, release requirement and environment; then rank the 15 adhesion strategies. These are reasoning rules, not material prescriptions.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>
      <x:c r="A4" s="14" t="str">
        <x:v>Challenge pattern</x:v>
      </x:c>
      <x:c r="B4" s="14" t="str">
        <x:v>Critical qualifiers</x:v>
      </x:c>
      <x:c r="C4" s="14" t="str">
        <x:v>Prioritize</x:v>
      </x:c>
      <x:c r="D4" s="14" t="str">
        <x:v>Usually combine with</x:v>
      </x:c>
      <x:c r="E4" s="14" t="str">
        <x:v>De-prioritize / reject when</x:v>
      </x:c>
      <x:c r="F4" s="14" t="str">
        <x:v>Reasoning rule</x:v>
      </x:c>
      <x:c r="G4" s="14" t="str">
        <x:v>Biological model</x:v>
      </x:c>
      <x:c r="H4" s="14" t="str">
        <x:v>What to measure</x:v>
      </x:c>
      <x:c r="I4" s="14" t="str">
        <x:v>Evidence status</x:v>
      </x:c>
      <x:c r="J4" s="14" t="str">
        <x:v>Notes</x:v>
      </x:c>
    </x:row>
    <x:row r="5" ht="57.75" customHeight="1">
      <x:c r="A5" s="36" t="str">
        <x:v>C01 Reusable dry attachment on smooth surfaces</x:v>
      </x:c>
      <x:c r="B5" s="15" t="str">
        <x:v>High cycle count; low residue; modest roughness</x:v>
      </x:c>
      <x:c r="C5" s="15" t="str">
        <x:v>NA01 + NA03</x:v>
      </x:c>
      <x:c r="D5" s="15" t="str">
        <x:v>NA02/NA04</x:v>
      </x:c>
      <x:c r="E5" s="15" t="str">
        <x:v>Liquid glues or permanent chemistry</x:v>
      </x:c>
      <x:c r="F5" s="15" t="str">
        <x:v>Use split-contact dry adhesion with directional engagement/release.</x:v>
      </x:c>
      <x:c r="G5" s="15" t="str">
        <x:v>Gecko</x:v>
      </x:c>
      <x:c r="H5" s="15" t="str">
        <x:v>Normal/shear adhesion + cycles + contamination recovery</x:v>
      </x:c>
      <x:c r="I5" s="15" t="str">
        <x:v>Very high</x:v>
      </x:c>
      <x:c r="J5" s="15" t="str">
        <x:v>Prefer non-tacky, self-cleanable surfaces.</x:v>
      </x:c>
    </x:row>
    <x:row r="6" ht="57.75" customHeight="1">
      <x:c r="A6" s="36" t="str">
        <x:v>C02 Reusable dry attachment on rough/multiscale surfaces</x:v>
      </x:c>
      <x:c r="B6" s="15" t="str">
        <x:v>Roughness prevents full contact</x:v>
      </x:c>
      <x:c r="C6" s="15" t="str">
        <x:v>NA02 + NA04</x:v>
      </x:c>
      <x:c r="D6" s="15" t="str">
        <x:v>NA01/NA05</x:v>
      </x:c>
      <x:c r="E6" s="15" t="str">
        <x:v>Simply increasing surface energy</x:v>
      </x:c>
      <x:c r="F6" s="15" t="str">
        <x:v>Add hierarchy and backing compliance so different scales conform independently.</x:v>
      </x:c>
      <x:c r="G6" s="15" t="str">
        <x:v>Gecko hierarchy / foam-backed pads</x:v>
      </x:c>
      <x:c r="H6" s="15" t="str">
        <x:v>Roughness tolerance + contact area + load capacity</x:v>
      </x:c>
      <x:c r="I6" s="15" t="str">
        <x:v>Very high</x:v>
      </x:c>
      <x:c r="J6" s="15" t="str">
        <x:v>Backside compliance can matter as much as terminal fibrils.</x:v>
      </x:c>
    </x:row>
    <x:row r="7" ht="57.75" customHeight="1">
      <x:c r="A7" s="36" t="str">
        <x:v>C03 High-load reversible pad at large area</x:v>
      </x:c>
      <x:c r="B7" s="15" t="str">
        <x:v>Scale-up usually reduces force capacity</x:v>
      </x:c>
      <x:c r="C7" s="15" t="str">
        <x:v>NA04</x:v>
      </x:c>
      <x:c r="D7" s="15" t="str">
        <x:v>NA03/NA13</x:v>
      </x:c>
      <x:c r="E7" s="15" t="str">
        <x:v>Copying nanosetae only</x:v>
      </x:c>
      <x:c r="F7" s="15" t="str">
        <x:v>Control area-to-compliance ratio and the full load path; use soft contact + stiff load direction.</x:v>
      </x:c>
      <x:c r="G7" s="15" t="str">
        <x:v>Gecko load path</x:v>
      </x:c>
      <x:c r="H7" s="15" t="str">
        <x:v>N/cm², total load, compliance, release force</x:v>
      </x:c>
      <x:c r="I7" s="15" t="str">
        <x:v>Very high</x:v>
      </x:c>
      <x:c r="J7" s="15" t="str">
        <x:v>Large-area pads should be designed as structures, not just surfaces.</x:v>
      </x:c>
    </x:row>
    <x:row r="8" ht="57.75" customHeight="1">
      <x:c r="A8" s="36" t="str">
        <x:v>C04 Strong hold but very easy release</x:v>
      </x:c>
      <x:c r="B8" s="15" t="str">
        <x:v>Need large on/off ratio</x:v>
      </x:c>
      <x:c r="C8" s="15" t="str">
        <x:v>NA15 + NA03</x:v>
      </x:c>
      <x:c r="D8" s="15" t="str">
        <x:v>NA12/NA13</x:v>
      </x:c>
      <x:c r="E8" s="15" t="str">
        <x:v>Compromise at medium adhesion</x:v>
      </x:c>
      <x:c r="F8" s="15" t="str">
        <x:v>Create distinct attachment and release states using geometry, phase/state change or active actuation.</x:v>
      </x:c>
      <x:c r="G8" s="15" t="str">
        <x:v>Snail / gecko / octopus</x:v>
      </x:c>
      <x:c r="H8" s="15" t="str">
        <x:v>Switching ratio + trigger energy + response time</x:v>
      </x:c>
      <x:c r="I8" s="15" t="str">
        <x:v>Very high</x:v>
      </x:c>
      <x:c r="J8" s="15" t="str">
        <x:v>Measure false-trigger risk.</x:v>
      </x:c>
    </x:row>
    <x:row r="9" ht="57.75" customHeight="1">
      <x:c r="A9" s="36" t="str">
        <x:v>C05 Wet tissue adhesion</x:v>
      </x:c>
      <x:c r="B9" s="15" t="str">
        <x:v>Water blocks interface; tissue is compliant and dynamic</x:v>
      </x:c>
      <x:c r="C9" s="15" t="str">
        <x:v>NA06</x:v>
      </x:c>
      <x:c r="D9" s="15" t="str">
        <x:v>NA07/NA05/NA15</x:v>
      </x:c>
      <x:c r="E9" s="15" t="str">
        <x:v>Dry gecko adhesive alone</x:v>
      </x:c>
      <x:c r="F9" s="15" t="str">
        <x:v>Use molecular wet anchoring plus tough/compliant backing; separate fast contact from slower curing.</x:v>
      </x:c>
      <x:c r="G9" s="15" t="str">
        <x:v>Mussel</x:v>
      </x:c>
      <x:c r="H9" s="15" t="str">
        <x:v>Wet lap-shear/peel + cytocompatibility + removal trauma</x:v>
      </x:c>
      <x:c r="I9" s="15" t="str">
        <x:v>Very high</x:v>
      </x:c>
      <x:c r="J9" s="15" t="str">
        <x:v>Application may require atraumatic release.</x:v>
      </x:c>
    </x:row>
    <x:row r="10" ht="57.75" customHeight="1">
      <x:c r="A10" s="36" t="str">
        <x:v>C06 Underwater adhesion to smooth surface</x:v>
      </x:c>
      <x:c r="B10" s="15" t="str">
        <x:v>Interfacial water prevents contact</x:v>
      </x:c>
      <x:c r="C10" s="15" t="str">
        <x:v>NA06 or NA09</x:v>
      </x:c>
      <x:c r="D10" s="15" t="str">
        <x:v>NA08/NA10</x:v>
      </x:c>
      <x:c r="E10" s="15" t="str">
        <x:v>Assuming dry contact mechanics persist underwater</x:v>
      </x:c>
      <x:c r="F10" s="15" t="str">
        <x:v>Either bond through water with mussel-like chemistry or locally dewet before contact.</x:v>
      </x:c>
      <x:c r="G10" s="15" t="str">
        <x:v>Mussel / leaf beetle</x:v>
      </x:c>
      <x:c r="H10" s="15" t="str">
        <x:v>Underwater adhesion + water-displacement evidence</x:v>
      </x:c>
      <x:c r="I10" s="15" t="str">
        <x:v>Very high</x:v>
      </x:c>
      <x:c r="J10" s="15" t="str">
        <x:v>Select based on whether a chemical or physical interface is acceptable.</x:v>
      </x:c>
    </x:row>
    <x:row r="11" ht="57.75" customHeight="1">
      <x:c r="A11" s="36" t="str">
        <x:v>C07 Underwater adhesion to rough/curved surface</x:v>
      </x:c>
      <x:c r="B11" s="15" t="str">
        <x:v>Seal leakage and roughness</x:v>
      </x:c>
      <x:c r="C11" s="15" t="str">
        <x:v>NA10 + NA04</x:v>
      </x:c>
      <x:c r="D11" s="15" t="str">
        <x:v>NA07/NA15</x:v>
      </x:c>
      <x:c r="E11" s="15" t="str">
        <x:v>Rigid suction cup</x:v>
      </x:c>
      <x:c r="F11" s="15" t="str">
        <x:v>Use compliant sealing, distributed suction/friction and geometry that tolerates local gaps.</x:v>
      </x:c>
      <x:c r="G11" s="15" t="str">
        <x:v>Clingfish / octopus</x:v>
      </x:c>
      <x:c r="H11" s="15" t="str">
        <x:v>Seal pressure + roughness tolerance + shear/normal adhesion</x:v>
      </x:c>
      <x:c r="I11" s="15" t="str">
        <x:v>Very high</x:v>
      </x:c>
      <x:c r="J11" s="15" t="str">
        <x:v>Suction is only as good as the perimeter seal.</x:v>
      </x:c>
    </x:row>
    <x:row r="12" ht="57.75" customHeight="1">
      <x:c r="A12" s="36" t="str">
        <x:v>C08 Flooded surface with moving water</x:v>
      </x:c>
      <x:c r="B12" s="15" t="str">
        <x:v>Persistent lubricating film and hydrodynamic disturbance</x:v>
      </x:c>
      <x:c r="C12" s="15" t="str">
        <x:v>NA10</x:v>
      </x:c>
      <x:c r="D12" s="15" t="str">
        <x:v>NA04/NA14</x:v>
      </x:c>
      <x:c r="E12" s="15" t="str">
        <x:v>Static capillary bridge without drainage</x:v>
      </x:c>
      <x:c r="F12" s="15" t="str">
        <x:v>Drain fluid through channels, increase edge density and maintain compliant wet friction.</x:v>
      </x:c>
      <x:c r="G12" s="15" t="str">
        <x:v>Torrent frog</x:v>
      </x:c>
      <x:c r="H12" s="15" t="str">
        <x:v>Shear/friction under flow + drainage time</x:v>
      </x:c>
      <x:c r="I12" s="15" t="str">
        <x:v>High</x:v>
      </x:c>
      <x:c r="J12" s="15" t="str">
        <x:v>Test under actual flow rather than static immersion.</x:v>
      </x:c>
    </x:row>
    <x:row r="13" ht="57.75" customHeight="1">
      <x:c r="A13" s="36" t="str">
        <x:v>C09 Interface sees large humidity swings</x:v>
      </x:c>
      <x:c r="B13" s="15" t="str">
        <x:v>Water uptake/loss changes viscosity or compliance</x:v>
      </x:c>
      <x:c r="C13" s="15" t="str">
        <x:v>NA14</x:v>
      </x:c>
      <x:c r="D13" s="15" t="str">
        <x:v>NA04/NA10</x:v>
      </x:c>
      <x:c r="E13" s="15" t="str">
        <x:v>Optimize at one RH only</x:v>
      </x:c>
      <x:c r="F13" s="15" t="str">
        <x:v>Use environmental response deliberately or add a protective/buffering phase to stabilize water content.</x:v>
      </x:c>
      <x:c r="G13" s="15" t="str">
        <x:v>Bee pollen</x:v>
      </x:c>
      <x:c r="H13" s="15" t="str">
        <x:v>Adhesion vs RH + rate + aging</x:v>
      </x:c>
      <x:c r="I13" s="15" t="str">
        <x:v>Very high</x:v>
      </x:c>
      <x:c r="J13" s="15" t="str">
        <x:v>Store the full operating window, not one optimum point.</x:v>
      </x:c>
    </x:row>
    <x:row r="14" ht="57.75" customHeight="1">
      <x:c r="A14" s="36" t="str">
        <x:v>C10 Microparticle or fragile-part pick-and-place</x:v>
      </x:c>
      <x:c r="B14" s="15" t="str">
        <x:v>Need strong pickup and near-zero release load</x:v>
      </x:c>
      <x:c r="C14" s="15" t="str">
        <x:v>NA15 + NA03</x:v>
      </x:c>
      <x:c r="D14" s="15" t="str">
        <x:v>NA05/NA10</x:v>
      </x:c>
      <x:c r="E14" s="15" t="str">
        <x:v>High-tack PSA</x:v>
      </x:c>
      <x:c r="F14" s="15" t="str">
        <x:v>Use switchable geometry/suction with controlled shear/peel release.</x:v>
      </x:c>
      <x:c r="G14" s="15" t="str">
        <x:v>Gecko/octopus hybrid microstructures</x:v>
      </x:c>
      <x:c r="H14" s="15" t="str">
        <x:v>Pickup yield + release stress + cycle count</x:v>
      </x:c>
      <x:c r="I14" s="15" t="str">
        <x:v>High</x:v>
      </x:c>
      <x:c r="J14" s="15" t="str">
        <x:v>Important for microelectronics/transfer printing.</x:v>
      </x:c>
    </x:row>
    <x:row r="15" ht="57.75" customHeight="1">
      <x:c r="A15" s="36" t="str">
        <x:v>C11 Temporary tissue fixation with low insertion force</x:v>
      </x:c>
      <x:c r="B15" s="15" t="str">
        <x:v>Need retention without large insertion trauma</x:v>
      </x:c>
      <x:c r="C15" s="15" t="str">
        <x:v>NA11 or NA12</x:v>
      </x:c>
      <x:c r="D15" s="15" t="str">
        <x:v>NA15</x:v>
      </x:c>
      <x:c r="E15" s="15" t="str">
        <x:v>Surface adhesive only</x:v>
      </x:c>
      <x:c r="F15" s="15" t="str">
        <x:v>Use asymmetric barbs or post-insertion shape change so placement and retention mechanics differ.</x:v>
      </x:c>
      <x:c r="G15" s="15" t="str">
        <x:v>Porcupine / parasite</x:v>
      </x:c>
      <x:c r="H15" s="15" t="str">
        <x:v>Insertion force vs pull-out force + tissue damage</x:v>
      </x:c>
      <x:c r="I15" s="15" t="str">
        <x:v>Very high</x:v>
      </x:c>
      <x:c r="J15" s="15" t="str">
        <x:v>Mechanical interlock can be effective but invasive.</x:v>
      </x:c>
    </x:row>
    <x:row r="16" ht="57.75" customHeight="1">
      <x:c r="A16" s="36" t="str">
        <x:v>C12 Repositionable high-load industrial assembly</x:v>
      </x:c>
      <x:c r="B16" s="15" t="str">
        <x:v>Misalignment must be correctable</x:v>
      </x:c>
      <x:c r="C16" s="15" t="str">
        <x:v>NA15 + NA04</x:v>
      </x:c>
      <x:c r="D16" s="15" t="str">
        <x:v>NA03</x:v>
      </x:c>
      <x:c r="E16" s="15" t="str">
        <x:v>Permanent adhesive cure</x:v>
      </x:c>
      <x:c r="F16" s="15" t="str">
        <x:v>Use a soft conformal placement state and a stiff/locked holding state that can be reversed on demand.</x:v>
      </x:c>
      <x:c r="G16" s="15" t="str">
        <x:v>Snail epiphragm</x:v>
      </x:c>
      <x:c r="H16" s="15" t="str">
        <x:v>Load capacity + release trigger + repeat cycles</x:v>
      </x:c>
      <x:c r="I16" s="15" t="str">
        <x:v>Very high</x:v>
      </x:c>
      <x:c r="J16" s="15" t="str">
        <x:v>Water-triggered prototypes may require a different industrial stimulus.</x:v>
      </x:c>
    </x:row>
    <x:row r="17" ht="57.75" customHeight="1">
      <x:c r="A17" s="36" t="str">
        <x:v>C13 Attachment in vacuum / no liquid allowed</x:v>
      </x:c>
      <x:c r="B17" s="15" t="str">
        <x:v>Capillary and suction options limited</x:v>
      </x:c>
      <x:c r="C17" s="15" t="str">
        <x:v>NA01 + NA03</x:v>
      </x:c>
      <x:c r="D17" s="15" t="str">
        <x:v>NA04/NA05</x:v>
      </x:c>
      <x:c r="E17" s="15" t="str">
        <x:v>Wet chemistry</x:v>
      </x:c>
      <x:c r="F17" s="15" t="str">
        <x:v>Favor dry vdW split-contact surfaces and structural compliance control.</x:v>
      </x:c>
      <x:c r="G17" s="15" t="str">
        <x:v>Gecko</x:v>
      </x:c>
      <x:c r="H17" s="15" t="str">
        <x:v>Vacuum adhesion + cycles + contamination</x:v>
      </x:c>
      <x:c r="I17" s="15" t="str">
        <x:v>High</x:v>
      </x:c>
      <x:c r="J17" s="15" t="str">
        <x:v>Outgassing and feature wear become important.</x:v>
      </x:c>
    </x:row>
    <x:row r="18" ht="57.75" customHeight="1">
      <x:c r="A18" s="36" t="str">
        <x:v>C14 Dirty/dusty environment</x:v>
      </x:c>
      <x:c r="B18" s="15" t="str">
        <x:v>Contamination blocks intimate contact</x:v>
      </x:c>
      <x:c r="C18" s="15" t="str">
        <x:v>NA01 + NA02</x:v>
      </x:c>
      <x:c r="D18" s="15" t="str">
        <x:v>NA15</x:v>
      </x:c>
      <x:c r="E18" s="15" t="str">
        <x:v>Tacky PSA</x:v>
      </x:c>
      <x:c r="F18" s="15" t="str">
        <x:v>Use non-tacky split contacts, self-cleaning geometry and controlled detach/reattach cycles.</x:v>
      </x:c>
      <x:c r="G18" s="15" t="str">
        <x:v>Gecko/CNT gecko tape</x:v>
      </x:c>
      <x:c r="H18" s="15" t="str">
        <x:v>Adhesion recovery after contamination</x:v>
      </x:c>
      <x:c r="I18" s="15" t="str">
        <x:v>High</x:v>
      </x:c>
      <x:c r="J18" s="15" t="str">
        <x:v>Self-cleaning should be measured, not assumed.</x:v>
      </x:c>
    </x:row>
    <x:row r="19" ht="57.75" customHeight="1">
      <x:c r="A19" s="36" t="str">
        <x:v>C15 Load direction is uncertain or changes dynamically</x:v>
      </x:c>
      <x:c r="B19" s="15" t="str">
        <x:v>Directional adhesive may release unexpectedly</x:v>
      </x:c>
      <x:c r="C19" s="15" t="str">
        <x:v>NA13 + NA04</x:v>
      </x:c>
      <x:c r="D19" s="15" t="str">
        <x:v>NA15</x:v>
      </x:c>
      <x:c r="E19" s="15" t="str">
        <x:v>Single anisotropic pad with fixed orientation</x:v>
      </x:c>
      <x:c r="F19" s="15" t="str">
        <x:v>Use multiple independently oriented contacts and coordinate engagement with load vector.</x:v>
      </x:c>
      <x:c r="G19" s="15" t="str">
        <x:v>Spider/gecko digits</x:v>
      </x:c>
      <x:c r="H19" s="15" t="str">
        <x:v>Force envelope across angles + control response</x:v>
      </x:c>
      <x:c r="I19" s="15" t="str">
        <x:v>High</x:v>
      </x:c>
      <x:c r="J19" s="15" t="str">
        <x:v>System architecture is the primary design variable.</x:v>
      </x:c>
    </x:row>
    <x:row r="20" ht="57.75" customHeight="1">
      <x:c r="A20" s="36" t="str">
        <x:v>C16 Need underwater adhesive delivery into a gap</x:v>
      </x:c>
      <x:c r="B20" s="15" t="str">
        <x:v>Adhesive dilutes before reaching target</x:v>
      </x:c>
      <x:c r="C20" s="15" t="str">
        <x:v>NA08 + NA06</x:v>
      </x:c>
      <x:c r="D20" s="15" t="str">
        <x:v>NA07</x:v>
      </x:c>
      <x:c r="E20" s="15" t="str">
        <x:v>Inject low-viscosity polymer directly into water</x:v>
      </x:c>
      <x:c r="F20" s="15" t="str">
        <x:v>Use phase-separated dense adhesive delivery followed by interface anchoring/cure.</x:v>
      </x:c>
      <x:c r="G20" s="15" t="str">
        <x:v>Mussel coacervate</x:v>
      </x:c>
      <x:c r="H20" s="15" t="str">
        <x:v>Retention after injection + dilution resistance + cure time</x:v>
      </x:c>
      <x:c r="I20" s="15" t="str">
        <x:v>Very high</x:v>
      </x:c>
      <x:c r="J20" s="15" t="str">
        <x:v>Delivery and bonding should be separate ontology stages.</x:v>
      </x:c>
    </x:row>
    <x:row r="21" ht="57.75" customHeight="1">
      <x:c r="A21" s="36" t="str">
        <x:v>C17 Need adhesion without residue or surface damage</x:v>
      </x:c>
      <x:c r="B21" s="15" t="str">
        <x:v>Reusable consumer/robotic attachment</x:v>
      </x:c>
      <x:c r="C21" s="15" t="str">
        <x:v>NA01/NA03</x:v>
      </x:c>
      <x:c r="D21" s="15" t="str">
        <x:v>NA04/NA15</x:v>
      </x:c>
      <x:c r="E21" s="15" t="str">
        <x:v>Aggressive permanent chemistry</x:v>
      </x:c>
      <x:c r="F21" s="15" t="str">
        <x:v>Prefer dry structural adhesion or state-switching systems with low peel/release energy.</x:v>
      </x:c>
      <x:c r="G21" s="15" t="str">
        <x:v>Gecko/snail</x:v>
      </x:c>
      <x:c r="H21" s="15" t="str">
        <x:v>Residue + release force + surface damage + cycles</x:v>
      </x:c>
      <x:c r="I21" s="15" t="str">
        <x:v>High</x:v>
      </x:c>
      <x:c r="J21" s="15" t="str">
        <x:v>Measure surface condition after many cycles.</x:v>
      </x:c>
    </x:row>
    <x:row r="22" ht="57.75" customHeight="1">
      <x:c r="A22" s="36" t="str">
        <x:v>C18 Need both adhesion and sensing/active control</x:v>
      </x:c>
      <x:c r="B22" s="15" t="str">
        <x:v>Attachment state must be known</x:v>
      </x:c>
      <x:c r="C22" s="15" t="str">
        <x:v>NA13 + NA15</x:v>
      </x:c>
      <x:c r="D22" s="15" t="str">
        <x:v>NA07/NA10</x:v>
      </x:c>
      <x:c r="E22" s="15" t="str">
        <x:v>Open-loop adhesive</x:v>
      </x:c>
      <x:c r="F22" s="15" t="str">
        <x:v>Integrate sensing/actuation so the system verifies seal/contact and adjusts force or release timing.</x:v>
      </x:c>
      <x:c r="G22" s="15" t="str">
        <x:v>Octopus-inspired smart adhesive</x:v>
      </x:c>
      <x:c r="H22" s="15" t="str">
        <x:v>Contact-state signal + adhesion + switching latency</x:v>
      </x:c>
      <x:c r="I22" s="15" t="str">
        <x:v>High</x:v>
      </x:c>
      <x:c r="J22" s="15" t="str">
        <x:v>Closed-loop control can compensate for uncertain environments.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75a2194a1fd4047"/>
  </x:tableParts>
</x:worksheet>
</file>

<file path=xl/worksheets/sheet10.xml><?xml version="1.0" encoding="utf-8"?>
<x:worksheet xmlns:x="http://schemas.openxmlformats.org/spreadsheetml/2006/main">
  <x:sheetFormatPr defaultColWidth="8.6328125" defaultRowHeight="14.5"/>
  <x:cols>
    <x:col min="1" max="1" width="10" style="12" customWidth="1"/>
    <x:col min="2" max="2" width="30" style="12" customWidth="1"/>
    <x:col min="3" max="3" width="18" style="12" customWidth="1"/>
    <x:col min="4" max="4" width="46" style="12" customWidth="1"/>
    <x:col min="5" max="5" width="18" style="12" customWidth="1"/>
    <x:col min="6" max="8" width="34" style="12" customWidth="1"/>
    <x:col min="9" max="9" width="28" style="12" customWidth="1"/>
    <x:col min="10" max="10" width="22" style="12" customWidth="1"/>
    <x:col min="11" max="11" width="30" style="12" customWidth="1"/>
    <x:col min="12" max="12" width="22" style="12" customWidth="1"/>
  </x:cols>
  <x:sheetData>
    <x:row r="1" ht="20.899999618530273" customHeight="1">
      <x:c r="A1" s="6" t="str">
        <x:v>Evaluation ontology — define what “good adhesion” means before comparing solutions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15" customHeight="1">
      <x:c r="A2" s="5" t="str">
        <x:v>Peak force alone is insufficient. The ontology separates normal/shear/peel performance, conformity, compliance, switching, release damage, wet/humidity/rate robustness, durability, suction/interlock metrics and provenance.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>
      <x:c r="A4" s="14" t="str">
        <x:v>Metric ID</x:v>
      </x:c>
      <x:c r="B4" s="14" t="str">
        <x:v>Metric / field</x:v>
      </x:c>
      <x:c r="C4" s="14" t="str">
        <x:v>Function class</x:v>
      </x:c>
      <x:c r="D4" s="14" t="str">
        <x:v>Definition / question</x:v>
      </x:c>
      <x:c r="E4" s="14" t="str">
        <x:v>Typical unit</x:v>
      </x:c>
      <x:c r="F4" s="14" t="str">
        <x:v>Required conditions to store</x:v>
      </x:c>
      <x:c r="G4" s="14" t="str">
        <x:v>Why needed</x:v>
      </x:c>
      <x:c r="H4" s="14" t="str">
        <x:v>Common misuse</x:v>
      </x:c>
      <x:c r="I4" s="14" t="str">
        <x:v>Preferred evidence</x:v>
      </x:c>
      <x:c r="J4" s="14" t="str">
        <x:v>Relevant strategies</x:v>
      </x:c>
      <x:c r="K4" s="14" t="str">
        <x:v>Example source</x:v>
      </x:c>
      <x:c r="L4" s="14" t="str">
        <x:v>Engine requirement</x:v>
      </x:c>
    </x:row>
    <x:row r="5" ht="55.5" customHeight="1">
      <x:c r="A5" s="36" t="str">
        <x:v>E01</x:v>
      </x:c>
      <x:c r="B5" s="36" t="str">
        <x:v>Normal adhesion strength</x:v>
      </x:c>
      <x:c r="C5" s="15" t="str">
        <x:v>Mechanical hold</x:v>
      </x:c>
      <x:c r="D5" s="15" t="str">
        <x:v>Peak tensile/pull-off stress or force normal to interface</x:v>
      </x:c>
      <x:c r="E5" s="15" t="str">
        <x:v>kPa/MPa/N</x:v>
      </x:c>
      <x:c r="F5" s="15" t="str">
        <x:v>Preload; contact area; substrate; rate</x:v>
      </x:c>
      <x:c r="G5" s="15" t="str">
        <x:v>Core comparison for pull-off</x:v>
      </x:c>
      <x:c r="H5" s="15" t="str">
        <x:v>Comparing force without area or preload</x:v>
      </x:c>
      <x:c r="I5" s="15" t="str">
        <x:v>Standard pull-off / tack test</x:v>
      </x:c>
      <x:c r="J5" s="15" t="str">
        <x:v>NA01–NA15</x:v>
      </x:c>
      <x:c r="K5" s="15" t="str">
        <x:v>Autumn 2000; octopus/tree-frog papers</x:v>
      </x:c>
      <x:c r="L5" s="15" t="str">
        <x:v>Required</x:v>
      </x:c>
    </x:row>
    <x:row r="6" ht="55.5" customHeight="1">
      <x:c r="A6" s="36" t="str">
        <x:v>E02</x:v>
      </x:c>
      <x:c r="B6" s="36" t="str">
        <x:v>Shear adhesion / friction</x:v>
      </x:c>
      <x:c r="C6" s="15" t="str">
        <x:v>Mechanical hold</x:v>
      </x:c>
      <x:c r="D6" s="15" t="str">
        <x:v>Peak shear force/stress before sliding or detachment</x:v>
      </x:c>
      <x:c r="E6" s="15" t="str">
        <x:v>kPa/MPa/N</x:v>
      </x:c>
      <x:c r="F6" s="15" t="str">
        <x:v>Normal load; direction; speed; wet/dry state</x:v>
      </x:c>
      <x:c r="G6" s="15" t="str">
        <x:v>Critical for climbing/gripping</x:v>
      </x:c>
      <x:c r="H6" s="15" t="str">
        <x:v>Using normal adhesion as proxy for shear grip</x:v>
      </x:c>
      <x:c r="I6" s="15" t="str">
        <x:v>Shear/lap-shear test</x:v>
      </x:c>
      <x:c r="J6" s="15" t="str">
        <x:v>NA01,NA03,NA04,NA10,NA13</x:v>
      </x:c>
      <x:c r="K6" s="15" t="str">
        <x:v>Gecko/spider/frog studies</x:v>
      </x:c>
      <x:c r="L6" s="15" t="str">
        <x:v>Required when shear-loaded</x:v>
      </x:c>
    </x:row>
    <x:row r="7" ht="55.5" customHeight="1">
      <x:c r="A7" s="36" t="str">
        <x:v>E03</x:v>
      </x:c>
      <x:c r="B7" s="36" t="str">
        <x:v>Peel force / peel energy</x:v>
      </x:c>
      <x:c r="C7" s="15" t="str">
        <x:v>Release/fracture</x:v>
      </x:c>
      <x:c r="D7" s="15" t="str">
        <x:v>Force or energy required to propagate an edge detachment crack</x:v>
      </x:c>
      <x:c r="E7" s="15" t="str">
        <x:v>N m⁻1 / J m⁻2</x:v>
      </x:c>
      <x:c r="F7" s="15" t="str">
        <x:v>Peel angle; rate; width; backing</x:v>
      </x:c>
      <x:c r="G7" s="15" t="str">
        <x:v>Captures easy-release behavior and crack propagation</x:v>
      </x:c>
      <x:c r="H7" s="15" t="str">
        <x:v>Ignoring peel angle or rate</x:v>
      </x:c>
      <x:c r="I7" s="15" t="str">
        <x:v>Peel test</x:v>
      </x:c>
      <x:c r="J7" s="15" t="str">
        <x:v>NA03,NA05,NA15</x:v>
      </x:c>
      <x:c r="K7" s="15" t="str">
        <x:v>Gecko / hydrogel tapes</x:v>
      </x:c>
      <x:c r="L7" s="15" t="str">
        <x:v>Conditional</x:v>
      </x:c>
    </x:row>
    <x:row r="8" ht="55.5" customHeight="1">
      <x:c r="A8" s="36" t="str">
        <x:v>E04</x:v>
      </x:c>
      <x:c r="B8" s="36" t="str">
        <x:v>Work of adhesion / fracture energy</x:v>
      </x:c>
      <x:c r="C8" s="15" t="str">
        <x:v>Interface toughness</x:v>
      </x:c>
      <x:c r="D8" s="15" t="str">
        <x:v>Energy per area required for separation</x:v>
      </x:c>
      <x:c r="E8" s="15" t="str">
        <x:v>J m⁻2</x:v>
      </x:c>
      <x:c r="F8" s="15" t="str">
        <x:v>Contact geometry; loading mode; rate</x:v>
      </x:c>
      <x:c r="G8" s="15" t="str">
        <x:v>Separates bond strength from toughness</x:v>
      </x:c>
      <x:c r="H8" s="15" t="str">
        <x:v>Using peak force alone</x:v>
      </x:c>
      <x:c r="I8" s="15" t="str">
        <x:v>Fracture/contact mechanics</x:v>
      </x:c>
      <x:c r="J8" s="15" t="str">
        <x:v>NA04,NA05,NA06</x:v>
      </x:c>
      <x:c r="K8" s="15" t="str">
        <x:v>Glassmaker; Liew thesis</x:v>
      </x:c>
      <x:c r="L8" s="15" t="str">
        <x:v>Required for tough interfaces</x:v>
      </x:c>
    </x:row>
    <x:row r="9" ht="55.5" customHeight="1">
      <x:c r="A9" s="36" t="str">
        <x:v>E05</x:v>
      </x:c>
      <x:c r="B9" s="36" t="str">
        <x:v>Preload sensitivity</x:v>
      </x:c>
      <x:c r="C9" s="15" t="str">
        <x:v>Activation</x:v>
      </x:c>
      <x:c r="D9" s="15" t="str">
        <x:v>How strongly final adhesion depends on normal preload</x:v>
      </x:c>
      <x:c r="E9" s="15" t="str">
        <x:v>slope / force ratio</x:v>
      </x:c>
      <x:c r="F9" s="15" t="str">
        <x:v>Preload range; dwell time</x:v>
      </x:c>
      <x:c r="G9" s="15" t="str">
        <x:v>Determines usability and actuator requirements</x:v>
      </x:c>
      <x:c r="H9" s="15" t="str">
        <x:v>Reporting best force at one preload</x:v>
      </x:c>
      <x:c r="I9" s="15" t="str">
        <x:v>Force vs preload curve</x:v>
      </x:c>
      <x:c r="J9" s="15" t="str">
        <x:v>NA01–NA04</x:v>
      </x:c>
      <x:c r="K9" s="15" t="str">
        <x:v>Autumn 2000</x:v>
      </x:c>
      <x:c r="L9" s="15" t="str">
        <x:v>Required for dry structured systems</x:v>
      </x:c>
    </x:row>
    <x:row r="10" ht="55.5" customHeight="1">
      <x:c r="A10" s="36" t="str">
        <x:v>E06</x:v>
      </x:c>
      <x:c r="B10" s="36" t="str">
        <x:v>Real contact area / conformity</x:v>
      </x:c>
      <x:c r="C10" s="15" t="str">
        <x:v>Contact formation</x:v>
      </x:c>
      <x:c r="D10" s="15" t="str">
        <x:v>Fraction or map of actual contact with substrate</x:v>
      </x:c>
      <x:c r="E10" s="15" t="str">
        <x:v>% / µm²</x:v>
      </x:c>
      <x:c r="F10" s="15" t="str">
        <x:v>Roughness; load; imaging method</x:v>
      </x:c>
      <x:c r="G10" s="15" t="str">
        <x:v>Mechanistic bridge between compliance and force</x:v>
      </x:c>
      <x:c r="H10" s="15" t="str">
        <x:v>Assuming nominal area equals real area</x:v>
      </x:c>
      <x:c r="I10" s="15" t="str">
        <x:v>Optical/AFM/contact imaging</x:v>
      </x:c>
      <x:c r="J10" s="15" t="str">
        <x:v>NA01,NA02,NA04</x:v>
      </x:c>
      <x:c r="K10" s="15" t="str">
        <x:v>Gecko/compliance literature</x:v>
      </x:c>
      <x:c r="L10" s="15" t="str">
        <x:v>Recommended</x:v>
      </x:c>
    </x:row>
    <x:row r="11" ht="55.5" customHeight="1">
      <x:c r="A11" s="36" t="str">
        <x:v>E07</x:v>
      </x:c>
      <x:c r="B11" s="36" t="str">
        <x:v>System compliance / effective stiffness</x:v>
      </x:c>
      <x:c r="C11" s="15" t="str">
        <x:v>Load-path</x:v>
      </x:c>
      <x:c r="D11" s="15" t="str">
        <x:v>Displacement per unit load in relevant direction</x:v>
      </x:c>
      <x:c r="E11" s="15" t="str">
        <x:v>m N⁻1 / N mm⁻1</x:v>
      </x:c>
      <x:c r="F11" s="15" t="str">
        <x:v>Direction; geometry; backing thickness</x:v>
      </x:c>
      <x:c r="G11" s="15" t="str">
        <x:v>Key scaling variable for large-area reversible adhesion</x:v>
      </x:c>
      <x:c r="H11" s="15" t="str">
        <x:v>Only measuring interfacial modulus</x:v>
      </x:c>
      <x:c r="I11" s="15" t="str">
        <x:v>Load-displacement test</x:v>
      </x:c>
      <x:c r="J11" s="15" t="str">
        <x:v>NA04,NA13</x:v>
      </x:c>
      <x:c r="K11" s="15" t="str">
        <x:v>Bartlett/King/Imburgia</x:v>
      </x:c>
      <x:c r="L11" s="15" t="str">
        <x:v>Required for load-bearing pads</x:v>
      </x:c>
    </x:row>
    <x:row r="12" ht="55.5" customHeight="1">
      <x:c r="A12" s="36" t="str">
        <x:v>E08</x:v>
      </x:c>
      <x:c r="B12" s="36" t="str">
        <x:v>Directionality ratio</x:v>
      </x:c>
      <x:c r="C12" s="15" t="str">
        <x:v>Control</x:v>
      </x:c>
      <x:c r="D12" s="15" t="str">
        <x:v>Adhesion in strong direction divided by weak/release direction</x:v>
      </x:c>
      <x:c r="E12" s="15" t="str">
        <x:v>ratio</x:v>
      </x:c>
      <x:c r="F12" s="15" t="str">
        <x:v>Angles; shear/peel direction</x:v>
      </x:c>
      <x:c r="G12" s="15" t="str">
        <x:v>Quantifies anisotropy</x:v>
      </x:c>
      <x:c r="H12" s="15" t="str">
        <x:v>Calling an adhesive directional without full angle map</x:v>
      </x:c>
      <x:c r="I12" s="15" t="str">
        <x:v>Multi-angle force test</x:v>
      </x:c>
      <x:c r="J12" s="15" t="str">
        <x:v>NA03,NA13</x:v>
      </x:c>
      <x:c r="K12" s="15" t="str">
        <x:v>Murphy 2009; Imburgia 2019</x:v>
      </x:c>
      <x:c r="L12" s="15" t="str">
        <x:v>Required for directional systems</x:v>
      </x:c>
    </x:row>
    <x:row r="13" ht="55.5" customHeight="1">
      <x:c r="A13" s="36" t="str">
        <x:v>E09</x:v>
      </x:c>
      <x:c r="B13" s="36" t="str">
        <x:v>Switching / on-off ratio</x:v>
      </x:c>
      <x:c r="C13" s="15" t="str">
        <x:v>Control</x:v>
      </x:c>
      <x:c r="D13" s="15" t="str">
        <x:v>Adhesion in attached state divided by released state</x:v>
      </x:c>
      <x:c r="E13" s="15" t="str">
        <x:v>ratio</x:v>
      </x:c>
      <x:c r="F13" s="15" t="str">
        <x:v>Trigger and timing</x:v>
      </x:c>
      <x:c r="G13" s="15" t="str">
        <x:v>Core metric for switchable adhesion</x:v>
      </x:c>
      <x:c r="H13" s="15" t="str">
        <x:v>Reporting only high-state force</x:v>
      </x:c>
      <x:c r="I13" s="15" t="str">
        <x:v>Paired state measurements</x:v>
      </x:c>
      <x:c r="J13" s="15" t="str">
        <x:v>NA15,NA12</x:v>
      </x:c>
      <x:c r="K13" s="15" t="str">
        <x:v>Snail/octopus/switchable papers</x:v>
      </x:c>
      <x:c r="L13" s="15" t="str">
        <x:v>Required</x:v>
      </x:c>
    </x:row>
    <x:row r="14" ht="55.5" customHeight="1">
      <x:c r="A14" s="36" t="str">
        <x:v>E10</x:v>
      </x:c>
      <x:c r="B14" s="36" t="str">
        <x:v>Release force / energy</x:v>
      </x:c>
      <x:c r="C14" s="15" t="str">
        <x:v>Release safety</x:v>
      </x:c>
      <x:c r="D14" s="15" t="str">
        <x:v>Force/energy needed to detach after full engagement</x:v>
      </x:c>
      <x:c r="E14" s="15" t="str">
        <x:v>N / J / kPa</x:v>
      </x:c>
      <x:c r="F14" s="15" t="str">
        <x:v>Release path; substrate</x:v>
      </x:c>
      <x:c r="G14" s="15" t="str">
        <x:v>Important for delicate parts/tissue</x:v>
      </x:c>
      <x:c r="H14" s="15" t="str">
        <x:v>High adhesion presented without release cost</x:v>
      </x:c>
      <x:c r="I14" s="15" t="str">
        <x:v>Release test</x:v>
      </x:c>
      <x:c r="J14" s="15" t="str">
        <x:v>NA03,NA11,NA12,NA15</x:v>
      </x:c>
      <x:c r="K14" s="15" t="str">
        <x:v>Pang 2023; medical adhesives</x:v>
      </x:c>
      <x:c r="L14" s="15" t="str">
        <x:v>Required for reversible applications</x:v>
      </x:c>
    </x:row>
    <x:row r="15" ht="55.5" customHeight="1">
      <x:c r="A15" s="36" t="str">
        <x:v>E11</x:v>
      </x:c>
      <x:c r="B15" s="36" t="str">
        <x:v>Response / switching time</x:v>
      </x:c>
      <x:c r="C15" s="15" t="str">
        <x:v>Temporal</x:v>
      </x:c>
      <x:c r="D15" s="15" t="str">
        <x:v>Time to attach, lock, release or reset</x:v>
      </x:c>
      <x:c r="E15" s="15" t="str">
        <x:v>ms/s/min</x:v>
      </x:c>
      <x:c r="F15" s="15" t="str">
        <x:v>Trigger intensity; geometry; environment</x:v>
      </x:c>
      <x:c r="G15" s="15" t="str">
        <x:v>Determines cycle speed and control feasibility</x:v>
      </x:c>
      <x:c r="H15" s="15" t="str">
        <x:v>Reporting state change without kinetics</x:v>
      </x:c>
      <x:c r="I15" s="15" t="str">
        <x:v>Time-resolved force</x:v>
      </x:c>
      <x:c r="J15" s="15" t="str">
        <x:v>NA12,NA14,NA15</x:v>
      </x:c>
      <x:c r="K15" s="15" t="str">
        <x:v>Snail/octopus studies</x:v>
      </x:c>
      <x:c r="L15" s="15" t="str">
        <x:v>Required for active systems</x:v>
      </x:c>
    </x:row>
    <x:row r="16" ht="55.5" customHeight="1">
      <x:c r="A16" s="36" t="str">
        <x:v>E12</x:v>
      </x:c>
      <x:c r="B16" s="36" t="str">
        <x:v>Cycle durability</x:v>
      </x:c>
      <x:c r="C16" s="15" t="str">
        <x:v>Lifecycle</x:v>
      </x:c>
      <x:c r="D16" s="15" t="str">
        <x:v>Number of attach-release cycles before performance falls below target</x:v>
      </x:c>
      <x:c r="E16" s="15" t="str">
        <x:v>cycles</x:v>
      </x:c>
      <x:c r="F16" s="15" t="str">
        <x:v>Same location; cleaning protocol; load level</x:v>
      </x:c>
      <x:c r="G16" s="15" t="str">
        <x:v>Distinguishes reusable from one-shot</x:v>
      </x:c>
      <x:c r="H16" s="15" t="str">
        <x:v>One successful repeat described as durable</x:v>
      </x:c>
      <x:c r="I16" s="15" t="str">
        <x:v>Repeated-cycle testing</x:v>
      </x:c>
      <x:c r="J16" s="15" t="str">
        <x:v>NA01–NA15</x:v>
      </x:c>
      <x:c r="K16" s="15" t="str">
        <x:v>Geckel / dry adhesive literature</x:v>
      </x:c>
      <x:c r="L16" s="15" t="str">
        <x:v>Required</x:v>
      </x:c>
    </x:row>
    <x:row r="17" ht="55.5" customHeight="1">
      <x:c r="A17" s="36" t="str">
        <x:v>E13</x:v>
      </x:c>
      <x:c r="B17" s="36" t="str">
        <x:v>Contamination / self-cleaning recovery</x:v>
      </x:c>
      <x:c r="C17" s="15" t="str">
        <x:v>Robustness</x:v>
      </x:c>
      <x:c r="D17" s="15" t="str">
        <x:v>Adhesion retained or recovered after dust/oil/biological fouling</x:v>
      </x:c>
      <x:c r="E17" s="15" t="str">
        <x:v>% recovery</x:v>
      </x:c>
      <x:c r="F17" s="15" t="str">
        <x:v>Contaminant; cleaning cycles</x:v>
      </x:c>
      <x:c r="G17" s="15" t="str">
        <x:v>Major weakness of microstructured dry adhesives</x:v>
      </x:c>
      <x:c r="H17" s="15" t="str">
        <x:v>Assuming gecko-like self-cleaning automatically transfers</x:v>
      </x:c>
      <x:c r="I17" s="15" t="str">
        <x:v>Contamination challenge</x:v>
      </x:c>
      <x:c r="J17" s="15" t="str">
        <x:v>NA01,NA02,NA15</x:v>
      </x:c>
      <x:c r="K17" s="15" t="str">
        <x:v>CNT gecko tape; gecko literature</x:v>
      </x:c>
      <x:c r="L17" s="15" t="str">
        <x:v>Conditional</x:v>
      </x:c>
    </x:row>
    <x:row r="18" ht="55.5" customHeight="1">
      <x:c r="A18" s="36" t="str">
        <x:v>E14</x:v>
      </x:c>
      <x:c r="B18" s="36" t="str">
        <x:v>Wet adhesion retention</x:v>
      </x:c>
      <x:c r="C18" s="15" t="str">
        <x:v>Environment</x:v>
      </x:c>
      <x:c r="D18" s="15" t="str">
        <x:v>Fraction of dry adhesion retained in water or on wet substrate</x:v>
      </x:c>
      <x:c r="E18" s="15" t="str">
        <x:v>% / force</x:v>
      </x:c>
      <x:c r="F18" s="15" t="str">
        <x:v>Fluid chemistry; immersion time; substrate</x:v>
      </x:c>
      <x:c r="G18" s="15" t="str">
        <x:v>Separates true wet adhesion from dry claims</x:v>
      </x:c>
      <x:c r="H18" s="15" t="str">
        <x:v>Testing only immediately after wetting</x:v>
      </x:c>
      <x:c r="I18" s="15" t="str">
        <x:v>Wet pull-off/shear</x:v>
      </x:c>
      <x:c r="J18" s="15" t="str">
        <x:v>NA06–NA10</x:v>
      </x:c>
      <x:c r="K18" s="15" t="str">
        <x:v>Geckel/mussel/frog papers</x:v>
      </x:c>
      <x:c r="L18" s="15" t="str">
        <x:v>Required for wet systems</x:v>
      </x:c>
    </x:row>
    <x:row r="19" ht="55.5" customHeight="1">
      <x:c r="A19" s="36" t="str">
        <x:v>E15</x:v>
      </x:c>
      <x:c r="B19" s="36" t="str">
        <x:v>Humidity operating window</x:v>
      </x:c>
      <x:c r="C19" s="15" t="str">
        <x:v>Environment</x:v>
      </x:c>
      <x:c r="D19" s="15" t="str">
        <x:v>Adhesion as function of relative humidity</x:v>
      </x:c>
      <x:c r="E19" s="15" t="str">
        <x:v>% RH vs force</x:v>
      </x:c>
      <x:c r="F19" s="15" t="str">
        <x:v>Temperature; dwell time; rate</x:v>
      </x:c>
      <x:c r="G19" s="15" t="str">
        <x:v>Captures adaptive or failure window</x:v>
      </x:c>
      <x:c r="H19" s="15" t="str">
        <x:v>Single RH value</x:v>
      </x:c>
      <x:c r="I19" s="15" t="str">
        <x:v>RH-controlled force testing</x:v>
      </x:c>
      <x:c r="J19" s="15" t="str">
        <x:v>NA14,NA04</x:v>
      </x:c>
      <x:c r="K19" s="15" t="str">
        <x:v>Bee pollen; humidity gecko</x:v>
      </x:c>
      <x:c r="L19" s="15" t="str">
        <x:v>Required when humidity relevant</x:v>
      </x:c>
    </x:row>
    <x:row r="20" ht="55.5" customHeight="1">
      <x:c r="A20" s="36" t="str">
        <x:v>E16</x:v>
      </x:c>
      <x:c r="B20" s="36" t="str">
        <x:v>Rate dependence</x:v>
      </x:c>
      <x:c r="C20" s="15" t="str">
        <x:v>Dynamics</x:v>
      </x:c>
      <x:c r="D20" s="15" t="str">
        <x:v>Change in adhesion with separation/slide speed</x:v>
      </x:c>
      <x:c r="E20" s="15" t="str">
        <x:v>force vs rate / exponent</x:v>
      </x:c>
      <x:c r="F20" s="15" t="str">
        <x:v>Viscosity; bridge geometry</x:v>
      </x:c>
      <x:c r="G20" s="15" t="str">
        <x:v>Essential for viscous/capillary adhesives</x:v>
      </x:c>
      <x:c r="H20" s="15" t="str">
        <x:v>Comparing tests at different rates</x:v>
      </x:c>
      <x:c r="I20" s="15" t="str">
        <x:v>Rate sweep</x:v>
      </x:c>
      <x:c r="J20" s="15" t="str">
        <x:v>NA10,NA14</x:v>
      </x:c>
      <x:c r="K20" s="15" t="str">
        <x:v>Bee pollen 2019</x:v>
      </x:c>
      <x:c r="L20" s="15" t="str">
        <x:v>Required for viscous systems</x:v>
      </x:c>
    </x:row>
    <x:row r="21" ht="55.5" customHeight="1">
      <x:c r="A21" s="36" t="str">
        <x:v>E17</x:v>
      </x:c>
      <x:c r="B21" s="36" t="str">
        <x:v>Roughness / curvature tolerance</x:v>
      </x:c>
      <x:c r="C21" s="15" t="str">
        <x:v>Geometric robustness</x:v>
      </x:c>
      <x:c r="D21" s="15" t="str">
        <x:v>Adhesion retained as substrate roughness or curvature varies</x:v>
      </x:c>
      <x:c r="E21" s="15" t="str">
        <x:v>% vs Ra/Rq/radius</x:v>
      </x:c>
      <x:c r="F21" s="15" t="str">
        <x:v>Surface statistics; preload</x:v>
      </x:c>
      <x:c r="G21" s="15" t="str">
        <x:v>Key transfer metric to real surfaces</x:v>
      </x:c>
      <x:c r="H21" s="15" t="str">
        <x:v>Smooth-glass performance treated as general</x:v>
      </x:c>
      <x:c r="I21" s="15" t="str">
        <x:v>Roughness/curvature sweep</x:v>
      </x:c>
      <x:c r="J21" s="15" t="str">
        <x:v>NA02,NA04,NA10</x:v>
      </x:c>
      <x:c r="K21" s="15" t="str">
        <x:v>Clingfish/tree frog/gecko</x:v>
      </x:c>
      <x:c r="L21" s="15" t="str">
        <x:v>Required for real-world grip</x:v>
      </x:c>
    </x:row>
    <x:row r="22" ht="55.5" customHeight="1">
      <x:c r="A22" s="36" t="str">
        <x:v>E18</x:v>
      </x:c>
      <x:c r="B22" s="36" t="str">
        <x:v>Suction / pressure differential</x:v>
      </x:c>
      <x:c r="C22" s="15" t="str">
        <x:v>Pressure hold</x:v>
      </x:c>
      <x:c r="D22" s="15" t="str">
        <x:v>Vacuum/negative pressure sustained by adhesive cavity</x:v>
      </x:c>
      <x:c r="E22" s="15" t="str">
        <x:v>kPa / leak rate</x:v>
      </x:c>
      <x:c r="F22" s="15" t="str">
        <x:v>Fluid; cavity geometry; roughness</x:v>
      </x:c>
      <x:c r="G22" s="15" t="str">
        <x:v>Quantifies suction-based contribution</x:v>
      </x:c>
      <x:c r="H22" s="15" t="str">
        <x:v>Attributing all wet force to chemistry</x:v>
      </x:c>
      <x:c r="I22" s="15" t="str">
        <x:v>Pressure + force measurement</x:v>
      </x:c>
      <x:c r="J22" s="15" t="str">
        <x:v>NA10,NA15</x:v>
      </x:c>
      <x:c r="K22" s="15" t="str">
        <x:v>Octopus/clingfish</x:v>
      </x:c>
      <x:c r="L22" s="15" t="str">
        <x:v>Conditional</x:v>
      </x:c>
    </x:row>
    <x:row r="23" ht="55.5" customHeight="1">
      <x:c r="A23" s="36" t="str">
        <x:v>E19</x:v>
      </x:c>
      <x:c r="B23" s="36" t="str">
        <x:v>Tissue insertion/removal asymmetry</x:v>
      </x:c>
      <x:c r="C23" s="15" t="str">
        <x:v>Mechanical interlock</x:v>
      </x:c>
      <x:c r="D23" s="15" t="str">
        <x:v>Ratio of pull-out to insertion force plus tissue damage</x:v>
      </x:c>
      <x:c r="E23" s="15" t="str">
        <x:v>ratio / N</x:v>
      </x:c>
      <x:c r="F23" s="15" t="str">
        <x:v>Tissue type; speed; geometry</x:v>
      </x:c>
      <x:c r="G23" s="15" t="str">
        <x:v>Measures value of barbs/shape locking</x:v>
      </x:c>
      <x:c r="H23" s="15" t="str">
        <x:v>Reporting retention without insertion trauma</x:v>
      </x:c>
      <x:c r="I23" s="15" t="str">
        <x:v>Insertion-pullout testing</x:v>
      </x:c>
      <x:c r="J23" s="15" t="str">
        <x:v>NA11,NA12</x:v>
      </x:c>
      <x:c r="K23" s="15" t="str">
        <x:v>Porcupine/microneedle studies</x:v>
      </x:c>
      <x:c r="L23" s="15" t="str">
        <x:v>Required for invasive systems</x:v>
      </x:c>
    </x:row>
    <x:row r="24" ht="55.5" customHeight="1">
      <x:c r="A24" s="36" t="str">
        <x:v>E20</x:v>
      </x:c>
      <x:c r="B24" s="36" t="str">
        <x:v>Interfacial water displacement / drainage</x:v>
      </x:c>
      <x:c r="C24" s="15" t="str">
        <x:v>Interface state</x:v>
      </x:c>
      <x:c r="D24" s="15" t="str">
        <x:v>How effectively liquid is removed or thinned at the contact</x:v>
      </x:c>
      <x:c r="E24" s="15" t="str">
        <x:v>film thickness / drainage time / imaging</x:v>
      </x:c>
      <x:c r="F24" s="15" t="str">
        <x:v>Fluid; load; channels</x:v>
      </x:c>
      <x:c r="G24" s="15" t="str">
        <x:v>Mechanistic requirement for wet structural adhesion</x:v>
      </x:c>
      <x:c r="H24" s="15" t="str">
        <x:v>Assuming contact exists underwater</x:v>
      </x:c>
      <x:c r="I24" s="15" t="str">
        <x:v>Imaging + fluid measurements</x:v>
      </x:c>
      <x:c r="J24" s="15" t="str">
        <x:v>NA09,NA10</x:v>
      </x:c>
      <x:c r="K24" s="15" t="str">
        <x:v>Beetle/frog literature</x:v>
      </x:c>
      <x:c r="L24" s="15" t="str">
        <x:v>Conditional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c7f232fd60504523"/>
  </x:tableParts>
</x:worksheet>
</file>

<file path=xl/worksheets/sheet11.xml><?xml version="1.0" encoding="utf-8"?>
<x:worksheet xmlns:x="http://schemas.openxmlformats.org/spreadsheetml/2006/main">
  <x:sheetFormatPr defaultColWidth="8.6328125" defaultRowHeight="14.5"/>
  <x:cols>
    <x:col min="1" max="1" width="42" style="12" customWidth="1"/>
    <x:col min="2" max="2" width="52" style="12" customWidth="1"/>
    <x:col min="3" max="3" width="10" style="12" customWidth="1"/>
    <x:col min="4" max="4" width="24" style="12" customWidth="1"/>
    <x:col min="5" max="5" width="26" style="12" customWidth="1"/>
    <x:col min="6" max="6" width="52" style="12" customWidth="1"/>
    <x:col min="7" max="7" width="28" style="12" customWidth="1"/>
    <x:col min="8" max="9" width="48" style="12" customWidth="1"/>
    <x:col min="10" max="10" width="34" style="12" customWidth="1"/>
    <x:col min="11" max="11" width="18" style="12" customWidth="1"/>
    <x:col min="12" max="12" width="38" style="12" customWidth="1"/>
  </x:cols>
  <x:sheetData>
    <x:row r="1" ht="20.899999618530273" customHeight="1">
      <x:c r="A1" s="6" t="str">
        <x:v>Attached-source review and ontology integration log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15" customHeight="1">
      <x:c r="A2" s="5" t="str">
        <x:v>All attached files used for this ontology are catalogued here. Evidence status is explicit: primary article, thesis, report, supporting information, patent, industry presentation or news. Non-peer-reviewed material is never weighted as equivalent to primary academic evidence.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>
      <x:c r="A4" s="14" t="str">
        <x:v>File</x:v>
      </x:c>
      <x:c r="B4" s="14" t="str">
        <x:v>Title / identification</x:v>
      </x:c>
      <x:c r="C4" s="14" t="str">
        <x:v>Year</x:v>
      </x:c>
      <x:c r="D4" s="14" t="str">
        <x:v>Source type</x:v>
      </x:c>
      <x:c r="E4" s="14" t="str">
        <x:v>Peer-review / status</x:v>
      </x:c>
      <x:c r="F4" s="14" t="str">
        <x:v>Main ontology contribution</x:v>
      </x:c>
      <x:c r="G4" s="14" t="str">
        <x:v>Strategies / primitives informed</x:v>
      </x:c>
      <x:c r="H4" s="14" t="str">
        <x:v>Key constraint or nuance integrated</x:v>
      </x:c>
      <x:c r="I4" s="14" t="str">
        <x:v>DOI / source URL</x:v>
      </x:c>
      <x:c r="J4" s="14" t="str">
        <x:v>Use in ontology</x:v>
      </x:c>
      <x:c r="K4" s="14" t="str">
        <x:v>Evidence weight</x:v>
      </x:c>
      <x:c r="L4" s="14" t="str">
        <x:v>Notes</x:v>
      </x:c>
    </x:row>
    <x:row r="5" ht="67.5" customHeight="1">
      <x:c r="A5" s="36" t="str">
        <x:v>Nature_Repair_Ontology_v2(1).xlsx</x:v>
      </x:c>
      <x:c r="B5" s="15" t="str">
        <x:v>Nature Repair Ontology v2 — structural template</x:v>
      </x:c>
      <x:c r="C5" s="15" t="str">
        <x:v>2026</x:v>
      </x:c>
      <x:c r="D5" s="15" t="str">
        <x:v>Ontology workbook</x:v>
      </x:c>
      <x:c r="E5" s="15" t="str">
        <x:v>User-supplied template</x:v>
      </x:c>
      <x:c r="F5" s="15" t="str">
        <x:v>Workbook architecture: Knowledge Map, Strategies, Primitives, Models, Challenge→Strategy, Evaluation, Engine Schema, evidence mapping, relations and ontology bridge</x:v>
      </x:c>
      <x:c r="G5" s="15" t="str">
        <x:v>All adhesion sheets</x:v>
      </x:c>
      <x:c r="H5" s="15" t="str">
        <x:v>Structure reused; repair-specific content replaced with adhesion-specific content</x:v>
      </x:c>
      <x:c r="I5" s="15" t="str">
        <x:v>Attached workbook</x:v>
      </x:c>
      <x:c r="J5" s="15" t="str">
        <x:v>Primary structural template</x:v>
      </x:c>
      <x:c r="K5" s="15" t="str">
        <x:v>Very high</x:v>
      </x:c>
      <x:c r="L5" s="15" t="str">
        <x:v>No repair claims carried over unless relevant to workbook structure.</x:v>
      </x:c>
    </x:row>
    <x:row r="6" ht="67.5" customHeight="1">
      <x:c r="A6" s="36" t="str">
        <x:v>Weight bearing adhesives with adjustable angles 2013.pdf</x:v>
      </x:c>
      <x:c r="B6" s="15" t="str">
        <x:v>Weight-Bearing Adhesives with Adjustable Angles — UMass patent US 9,440,416</x:v>
      </x:c>
      <x:c r="C6" s="15" t="str">
        <x:v>2016 patent / 2013 priority</x:v>
      </x:c>
      <x:c r="D6" s="15" t="str">
        <x:v>Patent</x:v>
      </x:c>
      <x:c r="E6" s="15" t="str">
        <x:v>Not peer-reviewed academic evidence</x:v>
      </x:c>
      <x:c r="F6" s="15" t="str">
        <x:v>Large-area high-load reversible adhesive architecture; adjustable angle/load sharing</x:v>
      </x:c>
      <x:c r="G6" s="15" t="str">
        <x:v>NA03,NA04,NA13; P04,P05,P16</x:v>
      </x:c>
      <x:c r="H6" s="15" t="str">
        <x:v>Use for application architecture and IP provenance, not as sole scientific validation</x:v>
      </x:c>
      <x:c r="I6" s="15" t="str">
        <x:v>US 9,440,416 B2</x:v>
      </x:c>
      <x:c r="J6" s="15" t="str">
        <x:v>Translation / application context</x:v>
      </x:c>
      <x:c r="K6" s="15" t="str">
        <x:v>Medium</x:v>
      </x:c>
      <x:c r="L6" s="15" t="str">
        <x:v>Supports multi-pad angle/load-path concepts.</x:v>
      </x:c>
    </x:row>
    <x:row r="7" ht="67.5" customHeight="1">
      <x:c r="A7" s="36" t="str">
        <x:v>2019-06-scientists-reveal-reversible-super-glue-snail.pdf</x:v>
      </x:c>
      <x:c r="B7" s="15" t="str">
        <x:v>Engineers demonstrate superstrong reversible adhesive that works like snail slime — news summary of Cho et al. PNAS</x:v>
      </x:c>
      <x:c r="C7" s="15" t="str">
        <x:v>2019</x:v>
      </x:c>
      <x:c r="D7" s="15" t="str">
        <x:v>News / research communication</x:v>
      </x:c>
      <x:c r="E7" s="15" t="str">
        <x:v>Non-peer-reviewed summary</x:v>
      </x:c>
      <x:c r="F7" s="15" t="str">
        <x:v>Snail epiphragm analogy; hydrated conformability → dry stiff shape-lock → rewet release; industrial assembly context</x:v>
      </x:c>
      <x:c r="G7" s="15" t="str">
        <x:v>NA15,NA04; P05,P16</x:v>
      </x:c>
      <x:c r="H7" s="15" t="str">
        <x:v>Water trigger can be a failure mode in wet service; underlying PNAS paper used as academic evidence</x:v>
      </x:c>
      <x:c r="I7" s="15" t="str">
        <x:v>https://doi.org/10.1073/pnas.1818534116</x:v>
      </x:c>
      <x:c r="J7" s="15" t="str">
        <x:v>Leads to primary PNAS source</x:v>
      </x:c>
      <x:c r="K7" s="15" t="str">
        <x:v>Low standalone / high as pointer</x:v>
      </x:c>
      <x:c r="L7" s="15" t="str">
        <x:v>Not counted as an independent academic paper.</x:v>
      </x:c>
    </x:row>
    <x:row r="8" ht="67.5" customHeight="1">
      <x:c r="A8" s="36" t="str">
        <x:v>A reversible wet dry adhesive inspired by mussels.pdf</x:v>
      </x:c>
      <x:c r="B8" s="15" t="str">
        <x:v>Supplementary Information — A reversible wet/dry adhesive inspired by mussels and geckos</x:v>
      </x:c>
      <x:c r="C8" s="15" t="str">
        <x:v>2007</x:v>
      </x:c>
      <x:c r="D8" s="15" t="str">
        <x:v>Supporting Information</x:v>
      </x:c>
      <x:c r="E8" s="15" t="str">
        <x:v>Supplement to Nature primary paper</x:v>
      </x:c>
      <x:c r="F8" s="15" t="str">
        <x:v>Hybrid gecko fibrils + mussel-mimetic chemistry; substrate-dependent wet adhesion</x:v>
      </x:c>
      <x:c r="G8" s="15" t="str">
        <x:v>NA07,NA06,NA02; P02,P03,P07</x:v>
      </x:c>
      <x:c r="H8" s="15" t="str">
        <x:v>Supporting information is not an independent paper; use with Nature article</x:v>
      </x:c>
      <x:c r="I8" s="15" t="str">
        <x:v>https://doi.org/10.1038/nature05968</x:v>
      </x:c>
      <x:c r="J8" s="15" t="str">
        <x:v>Mechanism support</x:v>
      </x:c>
      <x:c r="K8" s="15" t="str">
        <x:v>High with parent paper</x:v>
      </x:c>
      <x:c r="L8" s="15" t="str">
        <x:v>Contains quantitative single-pillar wet adhesion support.</x:v>
      </x:c>
    </x:row>
    <x:row r="9" ht="67.5" customHeight="1">
      <x:c r="A9" s="37" t="str">
        <x:v>ACT-RPT-BIO-ARI-066201-Spider Attachment-Udine.pdf</x:v>
      </x:c>
      <x:c r="B9" s="38" t="str">
        <x:v>Attaching mechanisms and strategies inspired by the spiders’ leg — ESA/University of Udine final report</x:v>
      </x:c>
      <x:c r="C9" s="38" t="str">
        <x:v>2008</x:v>
      </x:c>
      <x:c r="D9" s="38" t="str">
        <x:v>Technical report</x:v>
      </x:c>
      <x:c r="E9" s="38" t="str">
        <x:v>Non-journal report</x:v>
      </x:c>
      <x:c r="F9" s="38" t="str">
        <x:v>Spider/gecko hierarchy, vdW/capillary discussion, self-cleaning, mussel-gecko hybrid and CNT translations</x:v>
      </x:c>
      <x:c r="G9" s="38" t="str">
        <x:v>NA01,NA02,NA03,NA07,NA14; P01–P04,P07</x:v>
      </x:c>
      <x:c r="H9" s="38" t="str">
        <x:v>Use as synthesis/provenance; some older capillary-vs-vdW interpretations are debated</x:v>
      </x:c>
      <x:c r="I9" s="38" t="str">
        <x:v>ESA Ariadna 06/6201</x:v>
      </x:c>
      <x:c r="J9" s="38" t="str">
        <x:v>Supporting synthesis</x:v>
      </x:c>
      <x:c r="K9" s="38" t="str">
        <x:v>Medium</x:v>
      </x:c>
      <x:c r="L9" s="38" t="str">
        <x:v>Useful historical bridge from biology to engineering.</x:v>
      </x:c>
    </x:row>
    <x:row r="10" ht="67.5" customHeight="1">
      <x:c r="A10" s="36" t="str">
        <x:v>Adhesives - bioinspired.pdf</x:v>
      </x:c>
      <x:c r="B10" s="15" t="str">
        <x:v>Fabrication and characterization of biomimetic dry adhesives supported by foam backing material — Kelvin Liew thesis</x:v>
      </x:c>
      <x:c r="C10" s="15" t="str">
        <x:v>2017</x:v>
      </x:c>
      <x:c r="D10" s="15" t="str">
        <x:v>Master's thesis</x:v>
      </x:c>
      <x:c r="E10" s="15" t="str">
        <x:v>Examined academic thesis</x:v>
      </x:c>
      <x:c r="F10" s="15" t="str">
        <x:v>Foam-backed functionally graded adhesives; compliance, work of adhesion, pick-and-place; extensive foundational bibliography</x:v>
      </x:c>
      <x:c r="G10" s="15" t="str">
        <x:v>NA04,NA05,NA01; P05,P06</x:v>
      </x:c>
      <x:c r="H10" s="15" t="str">
        <x:v>Backing compliance can increase work of adhesion dramatically; terminal geometry is not the whole system</x:v>
      </x:c>
      <x:c r="I10" s="15" t="str">
        <x:v>Thesis + DOI 10.1016/j.ijadhadh.2017.02.009 for related article</x:v>
      </x:c>
      <x:c r="J10" s="15" t="str">
        <x:v>Major ontology source</x:v>
      </x:c>
      <x:c r="K10" s="15" t="str">
        <x:v>High</x:v>
      </x:c>
      <x:c r="L10" s="15" t="str">
        <x:v>Directly informs compliance/load-path and metrics.</x:v>
      </x:c>
    </x:row>
    <x:row r="11" ht="67.5" customHeight="1">
      <x:c r="A11" s="36" t="str">
        <x:v>CNT Ghecko inspired adhesives.pdf</x:v>
      </x:c>
      <x:c r="B11" s="15" t="str">
        <x:v>Carbon Nanotubes Based Gecko Inspired Adhesives — Sethia, Ge, Ajayan, Dhinojwala</x:v>
      </x:c>
      <x:c r="C11" s="15" t="str">
        <x:v>n/a</x:v>
      </x:c>
      <x:c r="D11" s="15" t="str">
        <x:v>Conference/proceedings-style paper</x:v>
      </x:c>
      <x:c r="E11" s="15" t="str">
        <x:v>Academic technical paper; venue not fully resolved from attachment</x:v>
      </x:c>
      <x:c r="F11" s="15" t="str">
        <x:v>Hierarchical CNT contacts, contact splitting, high shear force, self-cleaning/superhydrophobicity</x:v>
      </x:c>
      <x:c r="G11" s="15" t="str">
        <x:v>NA01,NA02; P01,P02,P03</x:v>
      </x:c>
      <x:c r="H11" s="15" t="str">
        <x:v>Scale-up force does not automatically scale with nominal area; hierarchy and pattern size matter</x:v>
      </x:c>
      <x:c r="I11" s="15" t="str">
        <x:v>Underlying landmark: https://doi.org/10.1073/pnas.0703505104</x:v>
      </x:c>
      <x:c r="J11" s="15" t="str">
        <x:v>Mechanism/application support</x:v>
      </x:c>
      <x:c r="K11" s="15" t="str">
        <x:v>High</x:v>
      </x:c>
      <x:c r="L11" s="15" t="str">
        <x:v>Attached paper reports 50 µm patterned CNT geometry outperforming gecko foot in tested shear.</x:v>
      </x:c>
    </x:row>
    <x:row r="12" ht="67.5" customHeight="1">
      <x:c r="A12" s="36" t="str">
        <x:v>Deformation and Adhesion of Soft Composite Systems for Bio-inspir.pdf</x:v>
      </x:c>
      <x:c r="B12" s="15" t="str">
        <x:v>Deformation and Adhesion of Soft Composite Systems for Bio-inspired Adhesives and Wrinkled Surface Fabrication — Michael Imburgia PhD</x:v>
      </x:c>
      <x:c r="C12" s="15" t="str">
        <x:v>2017</x:v>
      </x:c>
      <x:c r="D12" s="15" t="str">
        <x:v>PhD dissertation</x:v>
      </x:c>
      <x:c r="E12" s="15" t="str">
        <x:v>Examined academic thesis</x:v>
      </x:c>
      <x:c r="F12" s="15" t="str">
        <x:v>Adhesion energy balance; A/C compliance scaling; angular spacing of multiple adhesive digits; whole-system load path</x:v>
      </x:c>
      <x:c r="G12" s="15" t="str">
        <x:v>NA03,NA04,NA13; P04,P05,P16</x:v>
      </x:c>
      <x:c r="H12" s="15" t="str">
        <x:v>Components far from the interface can control force capacity; orientation/load sharing are system variables</x:v>
      </x:c>
      <x:c r="I12" s="15" t="str">
        <x:v>UMass ScholarWorks dissertation 879</x:v>
      </x:c>
      <x:c r="J12" s="15" t="str">
        <x:v>Major ontology source</x:v>
      </x:c>
      <x:c r="K12" s="15" t="str">
        <x:v>Very high for synthesis</x:v>
      </x:c>
      <x:c r="L12" s="15" t="str">
        <x:v>Critical source for system-level adhesion reasoning.</x:v>
      </x:c>
    </x:row>
    <x:row r="13" ht="67.5" customHeight="1">
      <x:c r="A13" s="36" t="str">
        <x:v>easy release adhesive closure devices 2014.pdf</x:v>
      </x:c>
      <x:c r="B13" s="15" t="str">
        <x:v>High Capacity Easy Release Extended Use Adhesive Closure Devices — UMass patent US 9,603,419</x:v>
      </x:c>
      <x:c r="C13" s="15" t="str">
        <x:v>2017 patent / 2013 priority</x:v>
      </x:c>
      <x:c r="D13" s="15" t="str">
        <x:v>Patent</x:v>
      </x:c>
      <x:c r="E13" s="15" t="str">
        <x:v>Not peer-reviewed evidence</x:v>
      </x:c>
      <x:c r="F13" s="15" t="str">
        <x:v>Easy-release, repeated-use adhesive closure device concepts</x:v>
      </x:c>
      <x:c r="G13" s="15" t="str">
        <x:v>NA03,NA04,NA15</x:v>
      </x:c>
      <x:c r="H13" s="15" t="str">
        <x:v>Use for translation/IP examples; not to substantiate biological mechanism</x:v>
      </x:c>
      <x:c r="I13" s="15" t="str">
        <x:v>US 9,603,419 B2</x:v>
      </x:c>
      <x:c r="J13" s="15" t="str">
        <x:v>Application context</x:v>
      </x:c>
      <x:c r="K13" s="15" t="str">
        <x:v>Medium</x:v>
      </x:c>
      <x:c r="L13" s="15" t="str">
        <x:v>Not counted in 50-paper academic evidence base.</x:v>
      </x:c>
    </x:row>
    <x:row r="14" ht="67.5" customHeight="1">
      <x:c r="A14" s="36" t="str">
        <x:v>gecko adhesive force capacity 2019.pdf</x:v>
      </x:c>
      <x:c r="B14" s="15" t="str">
        <x:v>Effects of Digit Orientation on Gecko Adhesive Force Capacity: Synthetic and Behavioral Studies</x:v>
      </x:c>
      <x:c r="C14" s="15" t="str">
        <x:v>2019</x:v>
      </x:c>
      <x:c r="D14" s="15" t="str">
        <x:v>Peer-reviewed article</x:v>
      </x:c>
      <x:c r="E14" s="15" t="str">
        <x:v>Journal article</x:v>
      </x:c>
      <x:c r="F14" s="15" t="str">
        <x:v>Toe/digit orientation changes force capacity; synthetic multicomponent model agrees with analysis</x:v>
      </x:c>
      <x:c r="G14" s="15" t="str">
        <x:v>NA03,NA13,NA04; P04,P05,P16</x:v>
      </x:c>
      <x:c r="H14" s="15" t="str">
        <x:v>Alignment to load vector is a controllable system variable</x:v>
      </x:c>
      <x:c r="I14" s="15" t="str">
        <x:v>Attached article</x:v>
      </x:c>
      <x:c r="J14" s="15" t="str">
        <x:v>Primary strategy evidence</x:v>
      </x:c>
      <x:c r="K14" s="15" t="str">
        <x:v>Very high</x:v>
      </x:c>
      <x:c r="L14" s="15" t="str">
        <x:v>Directly supports directional and coordinated multi-contact strategies.</x:v>
      </x:c>
    </x:row>
    <x:row r="15" ht="67.5" customHeight="1">
      <x:c r="A15" s="36" t="str">
        <x:v>Humidity-tolerant adhesion of bee 2019.pdf</x:v>
      </x:c>
      <x:c r="B15" s="15" t="str">
        <x:v>Humidity-tolerant rate-dependent capillary viscous adhesion of bee-collected pollen fluids</x:v>
      </x:c>
      <x:c r="C15" s="15" t="str">
        <x:v>2019</x:v>
      </x:c>
      <x:c r="D15" s="15" t="str">
        <x:v>Primary research article</x:v>
      </x:c>
      <x:c r="E15" s="15" t="str">
        <x:v>Peer reviewed / Nature Communications</x:v>
      </x:c>
      <x:c r="F15" s="15" t="str">
        <x:v>Two-phase pollen adhesive; viscous aqueous phase supplies rate-dependent adhesion, oily phase buffers humidity</x:v>
      </x:c>
      <x:c r="G15" s="15" t="str">
        <x:v>NA14,NA10; P11,P16</x:v>
      </x:c>
      <x:c r="H15" s="15" t="str">
        <x:v>Environmental protector and adhesive function can be in different phases; optimum RH exists</x:v>
      </x:c>
      <x:c r="I15" s="15" t="str">
        <x:v>https://doi.org/10.1038/s41467-019-09372-x</x:v>
      </x:c>
      <x:c r="J15" s="15" t="str">
        <x:v>Primary evidence</x:v>
      </x:c>
      <x:c r="K15" s="15" t="str">
        <x:v>Very high</x:v>
      </x:c>
      <x:c r="L15" s="15" t="str">
        <x:v>Key environmental-adaptation source.</x:v>
      </x:c>
    </x:row>
    <x:row r="16" ht="67.5" customHeight="1">
      <x:c r="A16" s="39" t="str">
        <x:v>KingCrosby-2015-OptimizingAdhesiveDesignbyUnderstandingCompliance.pdf</x:v>
      </x:c>
      <x:c r="B16" s="40" t="str">
        <x:v>Optimizing Adhesive Design by Understanding Compliance — King &amp; Crosby</x:v>
      </x:c>
      <x:c r="C16" s="40" t="str">
        <x:v>2015</x:v>
      </x:c>
      <x:c r="D16" s="40" t="str">
        <x:v>Primary research article</x:v>
      </x:c>
      <x:c r="E16" s="40" t="str">
        <x:v>Peer reviewed / ACS Applied Materials &amp; Interfaces</x:v>
      </x:c>
      <x:c r="F16" s="40" t="str">
        <x:v>A/C scaling, whole-system compliance, geometry optimization; &gt;50% force-capacity increase by shape control</x:v>
      </x:c>
      <x:c r="G16" s="40" t="str">
        <x:v>NA04,NA13; P05,P16</x:v>
      </x:c>
      <x:c r="H16" s="40" t="str">
        <x:v>Do not reduce adhesion design to interfacial chemistry or terminal fibrils</x:v>
      </x:c>
      <x:c r="I16" s="40" t="str">
        <x:v>https://doi.org/10.1021/acsami.5b08934</x:v>
      </x:c>
      <x:c r="J16" s="40" t="str">
        <x:v>Primary strategy evidence</x:v>
      </x:c>
      <x:c r="K16" s="40" t="str">
        <x:v>Very high</x:v>
      </x:c>
      <x:c r="L16" s="40" t="str">
        <x:v>Core engineering-neutral compliance rule.</x:v>
      </x:c>
    </x:row>
    <x:row r="17" ht="67.5" customHeight="1">
      <x:c r="A17" s="36" t="str">
        <x:v>Mussel-Glue Inspired Adhesives 2019.pdf</x:v>
      </x:c>
      <x:c r="B17" s="15" t="str">
        <x:v>Mussel-Glue Inspired Adhesives: relevance of L-Dopa and sequence at nanomaterial-peptide interfaces</x:v>
      </x:c>
      <x:c r="C17" s="15" t="str">
        <x:v>2019</x:v>
      </x:c>
      <x:c r="D17" s="15" t="str">
        <x:v>Primary research article</x:v>
      </x:c>
      <x:c r="E17" s="15" t="str">
        <x:v>Peer reviewed / Advanced Materials Interfaces</x:v>
      </x:c>
      <x:c r="F17" s="15" t="str">
        <x:v>DOPA sequence context; strong + dynamic binding sites cooperate; surface-induced peptide conformation</x:v>
      </x:c>
      <x:c r="G17" s="15" t="str">
        <x:v>NA06; P07</x:v>
      </x:c>
      <x:c r="H17" s="15" t="str">
        <x:v>DOPA alone is not the whole mechanism; sequence context and adaptive conformation matter</x:v>
      </x:c>
      <x:c r="I17" s="15" t="str">
        <x:v>https://doi.org/10.1002/admi.201900501</x:v>
      </x:c>
      <x:c r="J17" s="15" t="str">
        <x:v>Primary molecular evidence</x:v>
      </x:c>
      <x:c r="K17" s="15" t="str">
        <x:v>High</x:v>
      </x:c>
      <x:c r="L17" s="15" t="str">
        <x:v>Useful nuance for molecular-anchor ontology fields.</x:v>
      </x:c>
    </x:row>
    <x:row r="18" ht="67.5" customHeight="1">
      <x:c r="A18" s="37" t="str">
        <x:v>Novel acrylic nanocellulose microsphere with improved adhesive properties 2017.pdf</x:v>
      </x:c>
      <x:c r="B18" s="38" t="str">
        <x:v>Novel acrylic/nanocellulose microsphere with improved adhesive properties</x:v>
      </x:c>
      <x:c r="C18" s="38" t="str">
        <x:v>2017</x:v>
      </x:c>
      <x:c r="D18" s="38" t="str">
        <x:v>Primary research article</x:v>
      </x:c>
      <x:c r="E18" s="38" t="str">
        <x:v>Peer reviewed / International Journal of Adhesion and Adhesives</x:v>
      </x:c>
      <x:c r="F18" s="38" t="str">
        <x:v>Nanocellulose as renewable filler; smaller microspheres + hydrogen bonding improve peel/tack/shear cohesivity</x:v>
      </x:c>
      <x:c r="G18" s="38" t="str">
        <x:v>NA04,NA06; P05,P07</x:v>
      </x:c>
      <x:c r="H18" s="38" t="str">
        <x:v>Bio-derived not directly biomimetic; retain as adjacent sustainable adhesive evidence</x:v>
      </x:c>
      <x:c r="I18" s="38" t="str">
        <x:v>Journal 74 (2017) 100–106</x:v>
      </x:c>
      <x:c r="J18" s="38" t="str">
        <x:v>Adjacent engineering evidence</x:v>
      </x:c>
      <x:c r="K18" s="38" t="str">
        <x:v>Medium</x:v>
      </x:c>
      <x:c r="L18" s="38" t="str">
        <x:v>Not one of the 50 core bioinspired papers.</x:v>
      </x:c>
    </x:row>
    <x:row r="19" ht="67.5" customHeight="1">
      <x:c r="A19" s="37" t="str">
        <x:v>P_Glass-Gecko_Inspired_Adhesive.pdf</x:v>
      </x:c>
      <x:c r="B19" s="38" t="str">
        <x:v>nanoGriptech Gecko Inspired Adhesive presentation</x:v>
      </x:c>
      <x:c r="C19" s="38" t="str">
        <x:v>2014</x:v>
      </x:c>
      <x:c r="D19" s="38" t="str">
        <x:v>Industry presentation</x:v>
      </x:c>
      <x:c r="E19" s="38" t="str">
        <x:v>Non-peer-reviewed</x:v>
      </x:c>
      <x:c r="F19" s="38" t="str">
        <x:v>Dry reusable no-residue directional adhesive; application/product framing</x:v>
      </x:c>
      <x:c r="G19" s="38" t="str">
        <x:v>NA01,NA03,NA04</x:v>
      </x:c>
      <x:c r="H19" s="38" t="str">
        <x:v>Use only for commercial/application vocabulary; not scientific validation</x:v>
      </x:c>
      <x:c r="I19" s="38" t="str">
        <x:v>Attached presentation</x:v>
      </x:c>
      <x:c r="J19" s="38" t="str">
        <x:v>Translation context</x:v>
      </x:c>
      <x:c r="K19" s="38" t="str">
        <x:v>Low–Medium</x:v>
      </x:c>
      <x:c r="L19" s="38" t="str">
        <x:v>Not counted as academic evidence.</x:v>
      </x:c>
    </x:row>
    <x:row r="20" ht="67.5" customHeight="1">
      <x:c r="A20" s="37" t="str">
        <x:v>The whole is more than the sum of all its parts collective effect of spiders attachment organs 2014.pdf</x:v>
      </x:c>
      <x:c r="B20" s="38" t="str">
        <x:v>The whole is more than the sum of all its parts: collective effect of spiders’ attachment organs</x:v>
      </x:c>
      <x:c r="C20" s="38" t="str">
        <x:v>2014</x:v>
      </x:c>
      <x:c r="D20" s="38" t="str">
        <x:v>Primary research article</x:v>
      </x:c>
      <x:c r="E20" s="38" t="str">
        <x:v>Peer reviewed / Journal of Experimental Biology</x:v>
      </x:c>
      <x:c r="F20" s="38" t="str">
        <x:v>Opposing legs create antagonistic shear; whole attachment is non-additive and supports fast detachment</x:v>
      </x:c>
      <x:c r="G20" s="38" t="str">
        <x:v>NA13,NA03; P04,P16</x:v>
      </x:c>
      <x:c r="H20" s="38" t="str">
        <x:v>System coordination can dominate apparent contact area</x:v>
      </x:c>
      <x:c r="I20" s="38" t="str">
        <x:v>https://doi.org/10.1242/jeb.093468</x:v>
      </x:c>
      <x:c r="J20" s="38" t="str">
        <x:v>Primary evidence</x:v>
      </x:c>
      <x:c r="K20" s="38" t="str">
        <x:v>Very high</x:v>
      </x:c>
      <x:c r="L20" s="38" t="str">
        <x:v>Core system-level strategy source.</x:v>
      </x:c>
    </x:row>
    <x:row r="21" ht="67.5" customHeight="1">
      <x:c r="A21" s="36" t="str">
        <x:v>Underwater locomotion beetles bubbles adhesion 2012.pdf</x:v>
      </x:c>
      <x:c r="B21" s="15" t="str">
        <x:v>Underwater locomotion in a terrestrial beetle: combination of surface de-wetting and capillary forces</x:v>
      </x:c>
      <x:c r="C21" s="15" t="str">
        <x:v>2012</x:v>
      </x:c>
      <x:c r="D21" s="15" t="str">
        <x:v>Primary research article</x:v>
      </x:c>
      <x:c r="E21" s="15" t="str">
        <x:v>Peer reviewed / Proceedings B</x:v>
      </x:c>
      <x:c r="F21" s="15" t="str">
        <x:v>Trapped air bubbles dewet hydrophobic substrate and restore capillary adhesion underwater; silicone analogue demonstrated</x:v>
      </x:c>
      <x:c r="G21" s="15" t="str">
        <x:v>NA09,NA10; P09,P10</x:v>
      </x:c>
      <x:c r="H21" s="15" t="str">
        <x:v>A valid underwater strategy is to remove water locally, not necessarily bond through it</x:v>
      </x:c>
      <x:c r="I21" s="15" t="str">
        <x:v>https://doi.org/10.1098/rspb.2012.1297</x:v>
      </x:c>
      <x:c r="J21" s="15" t="str">
        <x:v>Primary evidence</x:v>
      </x:c>
      <x:c r="K21" s="15" t="str">
        <x:v>Very high</x:v>
      </x:c>
      <x:c r="L21" s="15" t="str">
        <x:v>Distinct physical wet-adhesion mechanism.</x:v>
      </x:c>
    </x:row>
    <x:row r="22" ht="67.5" customHeight="1">
      <x:c r="A22" s="39" t="str">
        <x:v>Van de Waals interactions.pdf</x:v>
      </x:c>
      <x:c r="B22" s="40" t="str">
        <x:v>Wavelike Charge Density Fluctuations and van der Waals Interactions at the Nanoscale</x:v>
      </x:c>
      <x:c r="C22" s="40" t="str">
        <x:v>n/a</x:v>
      </x:c>
      <x:c r="D22" s="40" t="str">
        <x:v>Primary physics paper / manuscript</x:v>
      </x:c>
      <x:c r="E22" s="40" t="str">
        <x:v>Accepted/published Science version indicated in file</x:v>
      </x:c>
      <x:c r="F22" s="40" t="str">
        <x:v>Nonlocal vdW physics in nanoscale systems; theoretical foundation for dispersion interactions</x:v>
      </x:c>
      <x:c r="G22" s="40" t="str">
        <x:v>P01; NA01</x:v>
      </x:c>
      <x:c r="H22" s="40" t="str">
        <x:v>Useful physics background but not an adhesion-device paper</x:v>
      </x:c>
      <x:c r="I22" s="40" t="str">
        <x:v>Attached PDF</x:v>
      </x:c>
      <x:c r="J22" s="40" t="str">
        <x:v>Fundamental physics context</x:v>
      </x:c>
      <x:c r="K22" s="40" t="str">
        <x:v>High for physics / medium for direct adhesion</x:v>
      </x:c>
      <x:c r="L22" s="40" t="str">
        <x:v>Not counted as one of the 50 core adhesion papers.</x:v>
      </x:c>
    </x:row>
    <x:row r="23" ht="67.5" customHeight="1">
      <x:c r="A23" s="39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1a75cdfaf894615"/>
  </x:tableParts>
</x:worksheet>
</file>

<file path=xl/worksheets/sheet12.xml><?xml version="1.0" encoding="utf-8"?>
<x:worksheet xmlns:x="http://schemas.openxmlformats.org/spreadsheetml/2006/main">
  <x:sheetFormatPr defaultColWidth="8.6328125" defaultRowHeight="14.5"/>
  <x:cols>
    <x:col min="1" max="1" width="11" style="12" customWidth="1"/>
    <x:col min="2" max="2" width="32" style="12" customWidth="1"/>
    <x:col min="3" max="3" width="24" style="12" customWidth="1"/>
    <x:col min="4" max="5" width="34" style="12" customWidth="1"/>
    <x:col min="6" max="6" width="52" style="12" customWidth="1"/>
    <x:col min="7" max="7" width="42" style="12" customWidth="1"/>
    <x:col min="8" max="8" width="20" style="12" customWidth="1"/>
    <x:col min="9" max="9" width="16" style="12" customWidth="1"/>
  </x:cols>
  <x:sheetData>
    <x:row r="1" ht="20.899999618530273" customHeight="1">
      <x:c r="A1" s="6" t="str">
        <x:v>Knowledge-graph relations for machine reasoning</x:v>
      </x:c>
      <x:c r="B1" s="6"/>
      <x:c r="C1" s="6"/>
      <x:c r="D1" s="6"/>
      <x:c r="E1" s="6"/>
      <x:c r="F1" s="6"/>
      <x:c r="G1" s="6"/>
      <x:c r="H1" s="6"/>
      <x:c r="I1" s="6"/>
    </x:row>
    <x:row r="2" ht="15" customHeight="1">
      <x:c r="A2" s="5" t="str">
        <x:v>Each row is a subject–relation–object assertion with a qualifier and evidence status. These triples connect biological models, the 15 strategies, constraints and measurable outcomes.</x:v>
      </x:c>
      <x:c r="B2" s="5"/>
      <x:c r="C2" s="5"/>
      <x:c r="D2" s="5"/>
      <x:c r="E2" s="5"/>
      <x:c r="F2" s="5"/>
      <x:c r="G2" s="5"/>
      <x:c r="H2" s="5"/>
      <x:c r="I2" s="5"/>
    </x:row>
    <x:row r="4">
      <x:c r="A4" s="14" t="str">
        <x:v>Relation ID</x:v>
      </x:c>
      <x:c r="B4" s="14" t="str">
        <x:v>Subject</x:v>
      </x:c>
      <x:c r="C4" s="14" t="str">
        <x:v>Relation</x:v>
      </x:c>
      <x:c r="D4" s="14" t="str">
        <x:v>Object</x:v>
      </x:c>
      <x:c r="E4" s="14" t="str">
        <x:v>Qualifier / condition</x:v>
      </x:c>
      <x:c r="F4" s="14" t="str">
        <x:v>Reasoning implication</x:v>
      </x:c>
      <x:c r="G4" s="14" t="str">
        <x:v>Evidence basis</x:v>
      </x:c>
      <x:c r="H4" s="14" t="str">
        <x:v>Evidence type</x:v>
      </x:c>
      <x:c r="I4" s="14" t="str">
        <x:v>Confidence</x:v>
      </x:c>
    </x:row>
    <x:row r="5" ht="43.5" customHeight="1">
      <x:c r="A5" s="36" t="str">
        <x:v>R001</x:v>
      </x:c>
      <x:c r="B5" s="15" t="str">
        <x:v>M01 Tokay gecko toe pad / seta</x:v>
      </x:c>
      <x:c r="C5" s="15" t="str">
        <x:v>EVIDENCES_STRATEGY</x:v>
      </x:c>
      <x:c r="D5" s="15" t="str">
        <x:v>NA01 Split contact into many small contacts</x:v>
      </x:c>
      <x:c r="E5" s="15" t="str">
        <x:v>Primary mechanism mapping</x:v>
      </x:c>
      <x:c r="F5" s="15" t="str">
        <x:v>Retrieve the strategy when a challenge matches the model's functional constraints.</x:v>
      </x:c>
      <x:c r="G5" s="15" t="str">
        <x:v>Attached/core paper set</x:v>
      </x:c>
      <x:c r="H5" s="15" t="str">
        <x:v>Source-derived / ontology mapping</x:v>
      </x:c>
      <x:c r="I5" s="15" t="str">
        <x:v>High</x:v>
      </x:c>
    </x:row>
    <x:row r="6" ht="43.5" customHeight="1">
      <x:c r="A6" s="36" t="str">
        <x:v>R002</x:v>
      </x:c>
      <x:c r="B6" s="15" t="str">
        <x:v>M02 Gecko multi-digit foot</x:v>
      </x:c>
      <x:c r="C6" s="15" t="str">
        <x:v>EVIDENCES_STRATEGY</x:v>
      </x:c>
      <x:c r="D6" s="15" t="str">
        <x:v>NA13 Coordinate multiple adhesive units as a system</x:v>
      </x:c>
      <x:c r="E6" s="15" t="str">
        <x:v>Primary mechanism mapping</x:v>
      </x:c>
      <x:c r="F6" s="15" t="str">
        <x:v>Retrieve the strategy when a challenge matches the model's functional constraints.</x:v>
      </x:c>
      <x:c r="G6" s="15" t="str">
        <x:v>Attached/core paper set</x:v>
      </x:c>
      <x:c r="H6" s="15" t="str">
        <x:v>Source-derived / ontology mapping</x:v>
      </x:c>
      <x:c r="I6" s="15" t="str">
        <x:v>High</x:v>
      </x:c>
    </x:row>
    <x:row r="7" ht="43.5" customHeight="1">
      <x:c r="A7" s="36" t="str">
        <x:v>R003</x:v>
      </x:c>
      <x:c r="B7" s="15" t="str">
        <x:v>M03 Hunting spider scopulae / claw tufts</x:v>
      </x:c>
      <x:c r="C7" s="15" t="str">
        <x:v>EVIDENCES_STRATEGY</x:v>
      </x:c>
      <x:c r="D7" s="15" t="str">
        <x:v>NA13 Coordinate multiple adhesive units as a system</x:v>
      </x:c>
      <x:c r="E7" s="15" t="str">
        <x:v>Primary mechanism mapping</x:v>
      </x:c>
      <x:c r="F7" s="15" t="str">
        <x:v>Retrieve the strategy when a challenge matches the model's functional constraints.</x:v>
      </x:c>
      <x:c r="G7" s="15" t="str">
        <x:v>Attached/core paper set</x:v>
      </x:c>
      <x:c r="H7" s="15" t="str">
        <x:v>Source-derived / ontology mapping</x:v>
      </x:c>
      <x:c r="I7" s="15" t="str">
        <x:v>High</x:v>
      </x:c>
    </x:row>
    <x:row r="8" ht="43.5" customHeight="1">
      <x:c r="A8" s="36" t="str">
        <x:v>R004</x:v>
      </x:c>
      <x:c r="B8" s="15" t="str">
        <x:v>M04 Ladybird / leaf beetle adhesive hairs</x:v>
      </x:c>
      <x:c r="C8" s="15" t="str">
        <x:v>EVIDENCES_STRATEGY</x:v>
      </x:c>
      <x:c r="D8" s="15" t="str">
        <x:v>NA09 Dewet the interface before attaching</x:v>
      </x:c>
      <x:c r="E8" s="15" t="str">
        <x:v>Primary mechanism mapping</x:v>
      </x:c>
      <x:c r="F8" s="15" t="str">
        <x:v>Retrieve the strategy when a challenge matches the model's functional constraints.</x:v>
      </x:c>
      <x:c r="G8" s="15" t="str">
        <x:v>Attached/core paper set</x:v>
      </x:c>
      <x:c r="H8" s="15" t="str">
        <x:v>Source-derived / ontology mapping</x:v>
      </x:c>
      <x:c r="I8" s="15" t="str">
        <x:v>High</x:v>
      </x:c>
    </x:row>
    <x:row r="9" ht="43.5" customHeight="1">
      <x:c r="A9" s="36" t="str">
        <x:v>R005</x:v>
      </x:c>
      <x:c r="B9" s="15" t="str">
        <x:v>M05 Tree frog toe pad</x:v>
      </x:c>
      <x:c r="C9" s="15" t="str">
        <x:v>EVIDENCES_STRATEGY</x:v>
      </x:c>
      <x:c r="D9" s="15" t="str">
        <x:v>NA10 Generate wet friction through drainage and edge density</x:v>
      </x:c>
      <x:c r="E9" s="15" t="str">
        <x:v>Primary mechanism mapping</x:v>
      </x:c>
      <x:c r="F9" s="15" t="str">
        <x:v>Retrieve the strategy when a challenge matches the model's functional constraints.</x:v>
      </x:c>
      <x:c r="G9" s="15" t="str">
        <x:v>Attached/core paper set</x:v>
      </x:c>
      <x:c r="H9" s="15" t="str">
        <x:v>Source-derived / ontology mapping</x:v>
      </x:c>
      <x:c r="I9" s="15" t="str">
        <x:v>High</x:v>
      </x:c>
    </x:row>
    <x:row r="10" ht="43.5" customHeight="1">
      <x:c r="A10" s="36" t="str">
        <x:v>R006</x:v>
      </x:c>
      <x:c r="B10" s="15" t="str">
        <x:v>M06 Torrent frog toe pad</x:v>
      </x:c>
      <x:c r="C10" s="15" t="str">
        <x:v>EVIDENCES_STRATEGY</x:v>
      </x:c>
      <x:c r="D10" s="15" t="str">
        <x:v>NA10 Generate wet friction through drainage and edge density</x:v>
      </x:c>
      <x:c r="E10" s="15" t="str">
        <x:v>Primary mechanism mapping</x:v>
      </x:c>
      <x:c r="F10" s="15" t="str">
        <x:v>Retrieve the strategy when a challenge matches the model's functional constraints.</x:v>
      </x:c>
      <x:c r="G10" s="15" t="str">
        <x:v>Attached/core paper set</x:v>
      </x:c>
      <x:c r="H10" s="15" t="str">
        <x:v>Source-derived / ontology mapping</x:v>
      </x:c>
      <x:c r="I10" s="15" t="str">
        <x:v>High</x:v>
      </x:c>
    </x:row>
    <x:row r="11" ht="43.5" customHeight="1">
      <x:c r="A11" s="36" t="str">
        <x:v>R007</x:v>
      </x:c>
      <x:c r="B11" s="15" t="str">
        <x:v>M07 Octopus sucker</x:v>
      </x:c>
      <x:c r="C11" s="15" t="str">
        <x:v>EVIDENCES_STRATEGY</x:v>
      </x:c>
      <x:c r="D11" s="15" t="str">
        <x:v>NA10 Generate wet friction through drainage and edge density</x:v>
      </x:c>
      <x:c r="E11" s="15" t="str">
        <x:v>Primary mechanism mapping</x:v>
      </x:c>
      <x:c r="F11" s="15" t="str">
        <x:v>Retrieve the strategy when a challenge matches the model's functional constraints.</x:v>
      </x:c>
      <x:c r="G11" s="15" t="str">
        <x:v>Attached/core paper set</x:v>
      </x:c>
      <x:c r="H11" s="15" t="str">
        <x:v>Source-derived / ontology mapping</x:v>
      </x:c>
      <x:c r="I11" s="15" t="str">
        <x:v>High</x:v>
      </x:c>
    </x:row>
    <x:row r="12" ht="43.5" customHeight="1">
      <x:c r="A12" s="36" t="str">
        <x:v>R008</x:v>
      </x:c>
      <x:c r="B12" s="15" t="str">
        <x:v>M08 Clingfish suction disc</x:v>
      </x:c>
      <x:c r="C12" s="15" t="str">
        <x:v>EVIDENCES_STRATEGY</x:v>
      </x:c>
      <x:c r="D12" s="15" t="str">
        <x:v>NA10 Generate wet friction through drainage and edge density</x:v>
      </x:c>
      <x:c r="E12" s="15" t="str">
        <x:v>Primary mechanism mapping</x:v>
      </x:c>
      <x:c r="F12" s="15" t="str">
        <x:v>Retrieve the strategy when a challenge matches the model's functional constraints.</x:v>
      </x:c>
      <x:c r="G12" s="15" t="str">
        <x:v>Attached/core paper set</x:v>
      </x:c>
      <x:c r="H12" s="15" t="str">
        <x:v>Source-derived / ontology mapping</x:v>
      </x:c>
      <x:c r="I12" s="15" t="str">
        <x:v>High</x:v>
      </x:c>
    </x:row>
    <x:row r="13" ht="43.5" customHeight="1">
      <x:c r="A13" s="36" t="str">
        <x:v>R009</x:v>
      </x:c>
      <x:c r="B13" s="15" t="str">
        <x:v>M09 Remora adhesive disc</x:v>
      </x:c>
      <x:c r="C13" s="15" t="str">
        <x:v>EVIDENCES_STRATEGY</x:v>
      </x:c>
      <x:c r="D13" s="15" t="str">
        <x:v>NA13 Coordinate multiple adhesive units as a system</x:v>
      </x:c>
      <x:c r="E13" s="15" t="str">
        <x:v>Primary mechanism mapping</x:v>
      </x:c>
      <x:c r="F13" s="15" t="str">
        <x:v>Retrieve the strategy when a challenge matches the model's functional constraints.</x:v>
      </x:c>
      <x:c r="G13" s="15" t="str">
        <x:v>Attached/core paper set</x:v>
      </x:c>
      <x:c r="H13" s="15" t="str">
        <x:v>Source-derived / ontology mapping</x:v>
      </x:c>
      <x:c r="I13" s="15" t="str">
        <x:v>High</x:v>
      </x:c>
    </x:row>
    <x:row r="14" ht="43.5" customHeight="1">
      <x:c r="A14" s="36" t="str">
        <x:v>R010</x:v>
      </x:c>
      <x:c r="B14" s="15" t="str">
        <x:v>M10 Marine mussel foot protein / DOPA</x:v>
      </x:c>
      <x:c r="C14" s="15" t="str">
        <x:v>EVIDENCES_STRATEGY</x:v>
      </x:c>
      <x:c r="D14" s="15" t="str">
        <x:v>NA06 Use reversible molecular surface anchoring</x:v>
      </x:c>
      <x:c r="E14" s="15" t="str">
        <x:v>Primary mechanism mapping</x:v>
      </x:c>
      <x:c r="F14" s="15" t="str">
        <x:v>Retrieve the strategy when a challenge matches the model's functional constraints.</x:v>
      </x:c>
      <x:c r="G14" s="15" t="str">
        <x:v>Attached/core paper set</x:v>
      </x:c>
      <x:c r="H14" s="15" t="str">
        <x:v>Source-derived / ontology mapping</x:v>
      </x:c>
      <x:c r="I14" s="15" t="str">
        <x:v>High</x:v>
      </x:c>
    </x:row>
    <x:row r="15" ht="43.5" customHeight="1">
      <x:c r="A15" s="36" t="str">
        <x:v>R011</x:v>
      </x:c>
      <x:c r="B15" s="15" t="str">
        <x:v>M11 Mussel adhesive coacervate</x:v>
      </x:c>
      <x:c r="C15" s="15" t="str">
        <x:v>EVIDENCES_STRATEGY</x:v>
      </x:c>
      <x:c r="D15" s="15" t="str">
        <x:v>NA08 Phase-separate and deliver adhesive without dilution</x:v>
      </x:c>
      <x:c r="E15" s="15" t="str">
        <x:v>Primary mechanism mapping</x:v>
      </x:c>
      <x:c r="F15" s="15" t="str">
        <x:v>Retrieve the strategy when a challenge matches the model's functional constraints.</x:v>
      </x:c>
      <x:c r="G15" s="15" t="str">
        <x:v>Attached/core paper set</x:v>
      </x:c>
      <x:c r="H15" s="15" t="str">
        <x:v>Source-derived / ontology mapping</x:v>
      </x:c>
      <x:c r="I15" s="15" t="str">
        <x:v>High</x:v>
      </x:c>
    </x:row>
    <x:row r="16" ht="43.5" customHeight="1">
      <x:c r="A16" s="36" t="str">
        <x:v>R012</x:v>
      </x:c>
      <x:c r="B16" s="15" t="str">
        <x:v>M12 Snail epiphragm</x:v>
      </x:c>
      <x:c r="C16" s="15" t="str">
        <x:v>EVIDENCES_STRATEGY</x:v>
      </x:c>
      <x:c r="D16" s="15" t="str">
        <x:v>NA15 Switch material state to attach / release</x:v>
      </x:c>
      <x:c r="E16" s="15" t="str">
        <x:v>Primary mechanism mapping</x:v>
      </x:c>
      <x:c r="F16" s="15" t="str">
        <x:v>Retrieve the strategy when a challenge matches the model's functional constraints.</x:v>
      </x:c>
      <x:c r="G16" s="15" t="str">
        <x:v>Attached/core paper set</x:v>
      </x:c>
      <x:c r="H16" s="15" t="str">
        <x:v>Source-derived / ontology mapping</x:v>
      </x:c>
      <x:c r="I16" s="15" t="str">
        <x:v>High</x:v>
      </x:c>
    </x:row>
    <x:row r="17" ht="43.5" customHeight="1">
      <x:c r="A17" s="36" t="str">
        <x:v>R013</x:v>
      </x:c>
      <x:c r="B17" s="15" t="str">
        <x:v>M13 Porcupine quill barb</x:v>
      </x:c>
      <x:c r="C17" s="15" t="str">
        <x:v>EVIDENCES_STRATEGY</x:v>
      </x:c>
      <x:c r="D17" s="15" t="str">
        <x:v>NA11 Mechanically interlock after penetration</x:v>
      </x:c>
      <x:c r="E17" s="15" t="str">
        <x:v>Primary mechanism mapping</x:v>
      </x:c>
      <x:c r="F17" s="15" t="str">
        <x:v>Retrieve the strategy when a challenge matches the model's functional constraints.</x:v>
      </x:c>
      <x:c r="G17" s="15" t="str">
        <x:v>Attached/core paper set</x:v>
      </x:c>
      <x:c r="H17" s="15" t="str">
        <x:v>Source-derived / ontology mapping</x:v>
      </x:c>
      <x:c r="I17" s="15" t="str">
        <x:v>High</x:v>
      </x:c>
    </x:row>
    <x:row r="18" ht="43.5" customHeight="1">
      <x:c r="A18" s="36" t="str">
        <x:v>R014</x:v>
      </x:c>
      <x:c r="B18" s="15" t="str">
        <x:v>M14 Spiny-headed worm proboscis</x:v>
      </x:c>
      <x:c r="C18" s="15" t="str">
        <x:v>EVIDENCES_STRATEGY</x:v>
      </x:c>
      <x:c r="D18" s="15" t="str">
        <x:v>NA12 Change shape after attachment</x:v>
      </x:c>
      <x:c r="E18" s="15" t="str">
        <x:v>Primary mechanism mapping</x:v>
      </x:c>
      <x:c r="F18" s="15" t="str">
        <x:v>Retrieve the strategy when a challenge matches the model's functional constraints.</x:v>
      </x:c>
      <x:c r="G18" s="15" t="str">
        <x:v>Attached/core paper set</x:v>
      </x:c>
      <x:c r="H18" s="15" t="str">
        <x:v>Source-derived / ontology mapping</x:v>
      </x:c>
      <x:c r="I18" s="15" t="str">
        <x:v>High</x:v>
      </x:c>
    </x:row>
    <x:row r="19" ht="43.5" customHeight="1">
      <x:c r="A19" s="36" t="str">
        <x:v>R015</x:v>
      </x:c>
      <x:c r="B19" s="15" t="str">
        <x:v>M15 Bee-collected pollen adhesive / pollenkitt</x:v>
      </x:c>
      <x:c r="C19" s="15" t="str">
        <x:v>EVIDENCES_STRATEGY</x:v>
      </x:c>
      <x:c r="D19" s="15" t="str">
        <x:v>NA14 Regulate adhesion using environmental conditions</x:v>
      </x:c>
      <x:c r="E19" s="15" t="str">
        <x:v>Primary mechanism mapping</x:v>
      </x:c>
      <x:c r="F19" s="15" t="str">
        <x:v>Retrieve the strategy when a challenge matches the model's functional constraints.</x:v>
      </x:c>
      <x:c r="G19" s="15" t="str">
        <x:v>Attached/core paper set</x:v>
      </x:c>
      <x:c r="H19" s="15" t="str">
        <x:v>Source-derived / ontology mapping</x:v>
      </x:c>
      <x:c r="I19" s="15" t="str">
        <x:v>High</x:v>
      </x:c>
    </x:row>
    <x:row r="20" ht="43.5" customHeight="1">
      <x:c r="A20" s="36" t="str">
        <x:v>R016</x:v>
      </x:c>
      <x:c r="B20" s="15" t="str">
        <x:v>M16 Spider viscid capture glue</x:v>
      </x:c>
      <x:c r="C20" s="15" t="str">
        <x:v>EVIDENCES_STRATEGY</x:v>
      </x:c>
      <x:c r="D20" s="15" t="str">
        <x:v>NA14 Regulate adhesion using environmental conditions</x:v>
      </x:c>
      <x:c r="E20" s="15" t="str">
        <x:v>Primary mechanism mapping</x:v>
      </x:c>
      <x:c r="F20" s="15" t="str">
        <x:v>Retrieve the strategy when a challenge matches the model's functional constraints.</x:v>
      </x:c>
      <x:c r="G20" s="15" t="str">
        <x:v>Attached/core paper set</x:v>
      </x:c>
      <x:c r="H20" s="15" t="str">
        <x:v>Source-derived / ontology mapping</x:v>
      </x:c>
      <x:c r="I20" s="15" t="str">
        <x:v>High</x:v>
      </x:c>
    </x:row>
    <x:row r="21" ht="43.5" customHeight="1">
      <x:c r="A21" s="36" t="str">
        <x:v>R017</x:v>
      </x:c>
      <x:c r="B21" s="15" t="str">
        <x:v>M17 Gecko humidity-responsive setae</x:v>
      </x:c>
      <x:c r="C21" s="15" t="str">
        <x:v>EVIDENCES_STRATEGY</x:v>
      </x:c>
      <x:c r="D21" s="15" t="str">
        <x:v>NA14 Regulate adhesion using environmental conditions</x:v>
      </x:c>
      <x:c r="E21" s="15" t="str">
        <x:v>Primary mechanism mapping</x:v>
      </x:c>
      <x:c r="F21" s="15" t="str">
        <x:v>Retrieve the strategy when a challenge matches the model's functional constraints.</x:v>
      </x:c>
      <x:c r="G21" s="15" t="str">
        <x:v>Attached/core paper set</x:v>
      </x:c>
      <x:c r="H21" s="15" t="str">
        <x:v>Source-derived / ontology mapping</x:v>
      </x:c>
      <x:c r="I21" s="15" t="str">
        <x:v>High</x:v>
      </x:c>
    </x:row>
    <x:row r="22" ht="43.5" customHeight="1">
      <x:c r="A22" s="36" t="str">
        <x:v>R018</x:v>
      </x:c>
      <x:c r="B22" s="15" t="str">
        <x:v>M18 Mussel–gecko hybrid ('geckel')</x:v>
      </x:c>
      <x:c r="C22" s="15" t="str">
        <x:v>EVIDENCES_STRATEGY</x:v>
      </x:c>
      <x:c r="D22" s="15" t="str">
        <x:v>NA07 Combine structural + chemical adhesion</x:v>
      </x:c>
      <x:c r="E22" s="15" t="str">
        <x:v>Primary mechanism mapping</x:v>
      </x:c>
      <x:c r="F22" s="15" t="str">
        <x:v>Retrieve the strategy when a challenge matches the model's functional constraints.</x:v>
      </x:c>
      <x:c r="G22" s="15" t="str">
        <x:v>Attached/core paper set</x:v>
      </x:c>
      <x:c r="H22" s="15" t="str">
        <x:v>Source-derived / ontology mapping</x:v>
      </x:c>
      <x:c r="I22" s="15" t="str">
        <x:v>High</x:v>
      </x:c>
    </x:row>
    <x:row r="23" ht="43.5" customHeight="1">
      <x:c r="A23" s="36" t="str">
        <x:v>R019</x:v>
      </x:c>
      <x:c r="B23" s="15" t="str">
        <x:v>M19 Diving beetle / insect adhesive pad</x:v>
      </x:c>
      <x:c r="C23" s="15" t="str">
        <x:v>EVIDENCES_STRATEGY</x:v>
      </x:c>
      <x:c r="D23" s="15" t="str">
        <x:v>NA07 Combine structural + chemical adhesion</x:v>
      </x:c>
      <x:c r="E23" s="15" t="str">
        <x:v>Primary mechanism mapping</x:v>
      </x:c>
      <x:c r="F23" s="15" t="str">
        <x:v>Retrieve the strategy when a challenge matches the model's functional constraints.</x:v>
      </x:c>
      <x:c r="G23" s="15" t="str">
        <x:v>Attached/core paper set</x:v>
      </x:c>
      <x:c r="H23" s="15" t="str">
        <x:v>Source-derived / ontology mapping</x:v>
      </x:c>
      <x:c r="I23" s="15" t="str">
        <x:v>High</x:v>
      </x:c>
    </x:row>
    <x:row r="24" ht="43.5" customHeight="1">
      <x:c r="A24" s="36" t="str">
        <x:v>R020</x:v>
      </x:c>
      <x:c r="B24" s="15" t="str">
        <x:v>M20 Clingfish sucker nanofilaments</x:v>
      </x:c>
      <x:c r="C24" s="15" t="str">
        <x:v>EVIDENCES_STRATEGY</x:v>
      </x:c>
      <x:c r="D24" s="15" t="str">
        <x:v>NA10 Generate wet friction through drainage and edge density</x:v>
      </x:c>
      <x:c r="E24" s="15" t="str">
        <x:v>Primary mechanism mapping</x:v>
      </x:c>
      <x:c r="F24" s="15" t="str">
        <x:v>Retrieve the strategy when a challenge matches the model's functional constraints.</x:v>
      </x:c>
      <x:c r="G24" s="15" t="str">
        <x:v>Attached/core paper set</x:v>
      </x:c>
      <x:c r="H24" s="15" t="str">
        <x:v>Source-derived / ontology mapping</x:v>
      </x:c>
      <x:c r="I24" s="15" t="str">
        <x:v>High</x:v>
      </x:c>
    </x:row>
    <x:row r="25" ht="43.5" customHeight="1">
      <x:c r="A25" s="36" t="str">
        <x:v>R021</x:v>
      </x:c>
      <x:c r="B25" s="15" t="str">
        <x:v>M21 Gecko-inspired mushroom microfibrils</x:v>
      </x:c>
      <x:c r="C25" s="15" t="str">
        <x:v>EVIDENCES_STRATEGY</x:v>
      </x:c>
      <x:c r="D25" s="15" t="str">
        <x:v>NA03 Make adhesion directional / anisotropic</x:v>
      </x:c>
      <x:c r="E25" s="15" t="str">
        <x:v>Primary mechanism mapping</x:v>
      </x:c>
      <x:c r="F25" s="15" t="str">
        <x:v>Retrieve the strategy when a challenge matches the model's functional constraints.</x:v>
      </x:c>
      <x:c r="G25" s="15" t="str">
        <x:v>Attached/core paper set</x:v>
      </x:c>
      <x:c r="H25" s="15" t="str">
        <x:v>Source-derived / ontology mapping</x:v>
      </x:c>
      <x:c r="I25" s="15" t="str">
        <x:v>High</x:v>
      </x:c>
    </x:row>
    <x:row r="26" ht="43.5" customHeight="1">
      <x:c r="A26" s="36" t="str">
        <x:v>R022</x:v>
      </x:c>
      <x:c r="B26" s="15" t="str">
        <x:v>M22 Film-terminated fibrillar surface</x:v>
      </x:c>
      <x:c r="C26" s="15" t="str">
        <x:v>EVIDENCES_STRATEGY</x:v>
      </x:c>
      <x:c r="D26" s="15" t="str">
        <x:v>NA05 Trap and arrest detachment cracks</x:v>
      </x:c>
      <x:c r="E26" s="15" t="str">
        <x:v>Primary mechanism mapping</x:v>
      </x:c>
      <x:c r="F26" s="15" t="str">
        <x:v>Retrieve the strategy when a challenge matches the model's functional constraints.</x:v>
      </x:c>
      <x:c r="G26" s="15" t="str">
        <x:v>Attached/core paper set</x:v>
      </x:c>
      <x:c r="H26" s="15" t="str">
        <x:v>Source-derived / ontology mapping</x:v>
      </x:c>
      <x:c r="I26" s="15" t="str">
        <x:v>High</x:v>
      </x:c>
    </x:row>
    <x:row r="27" ht="43.5" customHeight="1">
      <x:c r="A27" s="36" t="str">
        <x:v>R023</x:v>
      </x:c>
      <x:c r="B27" s="15" t="str">
        <x:v>M23 Foam-backed functionally graded dry adhesive</x:v>
      </x:c>
      <x:c r="C27" s="15" t="str">
        <x:v>EVIDENCES_STRATEGY</x:v>
      </x:c>
      <x:c r="D27" s="15" t="str">
        <x:v>NA04 Control system compliance and load path</x:v>
      </x:c>
      <x:c r="E27" s="15" t="str">
        <x:v>Primary mechanism mapping</x:v>
      </x:c>
      <x:c r="F27" s="15" t="str">
        <x:v>Retrieve the strategy when a challenge matches the model's functional constraints.</x:v>
      </x:c>
      <x:c r="G27" s="15" t="str">
        <x:v>Attached/core paper set</x:v>
      </x:c>
      <x:c r="H27" s="15" t="str">
        <x:v>Source-derived / ontology mapping</x:v>
      </x:c>
      <x:c r="I27" s="15" t="str">
        <x:v>High</x:v>
      </x:c>
    </x:row>
    <x:row r="28" ht="43.5" customHeight="1">
      <x:c r="A28" s="36" t="str">
        <x:v>R024</x:v>
      </x:c>
      <x:c r="B28" s="15" t="str">
        <x:v>M24 Carbon-nanotube gecko tape</x:v>
      </x:c>
      <x:c r="C28" s="15" t="str">
        <x:v>EVIDENCES_STRATEGY</x:v>
      </x:c>
      <x:c r="D28" s="15" t="str">
        <x:v>NA02 Build hierarchy across scales</x:v>
      </x:c>
      <x:c r="E28" s="15" t="str">
        <x:v>Primary mechanism mapping</x:v>
      </x:c>
      <x:c r="F28" s="15" t="str">
        <x:v>Retrieve the strategy when a challenge matches the model's functional constraints.</x:v>
      </x:c>
      <x:c r="G28" s="15" t="str">
        <x:v>Attached/core paper set</x:v>
      </x:c>
      <x:c r="H28" s="15" t="str">
        <x:v>Source-derived / ontology mapping</x:v>
      </x:c>
      <x:c r="I28" s="15" t="str">
        <x:v>High</x:v>
      </x:c>
    </x:row>
    <x:row r="29" ht="43.5" customHeight="1">
      <x:c r="A29" s="36" t="str">
        <x:v>R025</x:v>
      </x:c>
      <x:c r="B29" s="15" t="str">
        <x:v>M25 Snail-inspired PHEMA state-switching adhesive</x:v>
      </x:c>
      <x:c r="C29" s="15" t="str">
        <x:v>EVIDENCES_STRATEGY</x:v>
      </x:c>
      <x:c r="D29" s="15" t="str">
        <x:v>NA15 Switch material state to attach / release</x:v>
      </x:c>
      <x:c r="E29" s="15" t="str">
        <x:v>Primary mechanism mapping</x:v>
      </x:c>
      <x:c r="F29" s="15" t="str">
        <x:v>Retrieve the strategy when a challenge matches the model's functional constraints.</x:v>
      </x:c>
      <x:c r="G29" s="15" t="str">
        <x:v>Attached/core paper set</x:v>
      </x:c>
      <x:c r="H29" s="15" t="str">
        <x:v>Source-derived / ontology mapping</x:v>
      </x:c>
      <x:c r="I29" s="15" t="str">
        <x:v>High</x:v>
      </x:c>
    </x:row>
    <x:row r="30" ht="43.5" customHeight="1">
      <x:c r="A30" s="36" t="str">
        <x:v>R026</x:v>
      </x:c>
      <x:c r="B30" s="15" t="str">
        <x:v>M26 Mussel-inspired hydrogel tape / tissue adhesive</x:v>
      </x:c>
      <x:c r="C30" s="15" t="str">
        <x:v>EVIDENCES_STRATEGY</x:v>
      </x:c>
      <x:c r="D30" s="15" t="str">
        <x:v>NA06 Use reversible molecular surface anchoring</x:v>
      </x:c>
      <x:c r="E30" s="15" t="str">
        <x:v>Primary mechanism mapping</x:v>
      </x:c>
      <x:c r="F30" s="15" t="str">
        <x:v>Retrieve the strategy when a challenge matches the model's functional constraints.</x:v>
      </x:c>
      <x:c r="G30" s="15" t="str">
        <x:v>Attached/core paper set</x:v>
      </x:c>
      <x:c r="H30" s="15" t="str">
        <x:v>Source-derived / ontology mapping</x:v>
      </x:c>
      <x:c r="I30" s="15" t="str">
        <x:v>High</x:v>
      </x:c>
    </x:row>
    <x:row r="31" ht="43.5" customHeight="1">
      <x:c r="A31" s="36" t="str">
        <x:v>R027</x:v>
      </x:c>
      <x:c r="B31" s="15" t="str">
        <x:v>M27 Octopus-inspired micro-sucker array</x:v>
      </x:c>
      <x:c r="C31" s="15" t="str">
        <x:v>EVIDENCES_STRATEGY</x:v>
      </x:c>
      <x:c r="D31" s="15" t="str">
        <x:v>NA15 Switch material state to attach / release</x:v>
      </x:c>
      <x:c r="E31" s="15" t="str">
        <x:v>Primary mechanism mapping</x:v>
      </x:c>
      <x:c r="F31" s="15" t="str">
        <x:v>Retrieve the strategy when a challenge matches the model's functional constraints.</x:v>
      </x:c>
      <x:c r="G31" s="15" t="str">
        <x:v>Attached/core paper set</x:v>
      </x:c>
      <x:c r="H31" s="15" t="str">
        <x:v>Source-derived / ontology mapping</x:v>
      </x:c>
      <x:c r="I31" s="15" t="str">
        <x:v>High</x:v>
      </x:c>
    </x:row>
    <x:row r="32" ht="43.5" customHeight="1">
      <x:c r="A32" s="36" t="str">
        <x:v>R028</x:v>
      </x:c>
      <x:c r="B32" s="15" t="str">
        <x:v>M28 Tree-frog-inspired hydrogel / nanopillar pad</x:v>
      </x:c>
      <x:c r="C32" s="15" t="str">
        <x:v>EVIDENCES_STRATEGY</x:v>
      </x:c>
      <x:c r="D32" s="15" t="str">
        <x:v>NA10 Generate wet friction through drainage and edge density</x:v>
      </x:c>
      <x:c r="E32" s="15" t="str">
        <x:v>Primary mechanism mapping</x:v>
      </x:c>
      <x:c r="F32" s="15" t="str">
        <x:v>Retrieve the strategy when a challenge matches the model's functional constraints.</x:v>
      </x:c>
      <x:c r="G32" s="15" t="str">
        <x:v>Attached/core paper set</x:v>
      </x:c>
      <x:c r="H32" s="15" t="str">
        <x:v>Source-derived / ontology mapping</x:v>
      </x:c>
      <x:c r="I32" s="15" t="str">
        <x:v>High</x:v>
      </x:c>
    </x:row>
    <x:row r="33" ht="43.5" customHeight="1">
      <x:c r="A33" s="36" t="str">
        <x:v>R029</x:v>
      </x:c>
      <x:c r="B33" s="15" t="str">
        <x:v>M29 Mussel-inspired peptide sequence adapter</x:v>
      </x:c>
      <x:c r="C33" s="15" t="str">
        <x:v>EVIDENCES_STRATEGY</x:v>
      </x:c>
      <x:c r="D33" s="15" t="str">
        <x:v>NA06 Use reversible molecular surface anchoring</x:v>
      </x:c>
      <x:c r="E33" s="15" t="str">
        <x:v>Primary mechanism mapping</x:v>
      </x:c>
      <x:c r="F33" s="15" t="str">
        <x:v>Retrieve the strategy when a challenge matches the model's functional constraints.</x:v>
      </x:c>
      <x:c r="G33" s="15" t="str">
        <x:v>Attached/core paper set</x:v>
      </x:c>
      <x:c r="H33" s="15" t="str">
        <x:v>Source-derived / ontology mapping</x:v>
      </x:c>
      <x:c r="I33" s="15" t="str">
        <x:v>High</x:v>
      </x:c>
    </x:row>
    <x:row r="34" ht="43.5" customHeight="1">
      <x:c r="A34" s="36" t="str">
        <x:v>R030</x:v>
      </x:c>
      <x:c r="B34" s="15" t="str">
        <x:v>M30 Acrylic/nanocellulose microsphere PSA</x:v>
      </x:c>
      <x:c r="C34" s="15" t="str">
        <x:v>EVIDENCES_STRATEGY</x:v>
      </x:c>
      <x:c r="D34" s="15" t="str">
        <x:v>NA04 Control system compliance and load path</x:v>
      </x:c>
      <x:c r="E34" s="15" t="str">
        <x:v>Primary mechanism mapping</x:v>
      </x:c>
      <x:c r="F34" s="15" t="str">
        <x:v>Retrieve the strategy when a challenge matches the model's functional constraints.</x:v>
      </x:c>
      <x:c r="G34" s="15" t="str">
        <x:v>Attached/core paper set</x:v>
      </x:c>
      <x:c r="H34" s="15" t="str">
        <x:v>Source-derived / ontology mapping</x:v>
      </x:c>
      <x:c r="I34" s="15" t="str">
        <x:v>High</x:v>
      </x:c>
    </x:row>
    <x:row r="35" ht="43.5" customHeight="1">
      <x:c r="A35" s="36" t="str">
        <x:v>R031</x:v>
      </x:c>
      <x:c r="B35" s="15" t="str">
        <x:v>NA01 Split contact into many small contacts</x:v>
      </x:c>
      <x:c r="C35" s="15" t="str">
        <x:v>REQUIRES</x:v>
      </x:c>
      <x:c r="D35" s="15" t="str">
        <x:v>Intimate real contact</x:v>
      </x:c>
      <x:c r="E35" s="15" t="str">
        <x:v>At molecular/nanoscale separation</x:v>
      </x:c>
      <x:c r="F35" s="15" t="str">
        <x:v>Dry vdW adhesion fails when roughness or contamination prevents close approach.</x:v>
      </x:c>
      <x:c r="G35" s="15" t="str">
        <x:v>Autumn 2000/2002; attached compliance sources</x:v>
      </x:c>
      <x:c r="H35" s="15" t="str">
        <x:v>Source-derived</x:v>
      </x:c>
      <x:c r="I35" s="15" t="str">
        <x:v>Very high</x:v>
      </x:c>
    </x:row>
    <x:row r="36" ht="43.5" customHeight="1">
      <x:c r="A36" s="36" t="str">
        <x:v>R032</x:v>
      </x:c>
      <x:c r="B36" s="15" t="str">
        <x:v>NA01 Split contact into many small contacts</x:v>
      </x:c>
      <x:c r="C36" s="15" t="str">
        <x:v>COMPLEMENTS</x:v>
      </x:c>
      <x:c r="D36" s="15" t="str">
        <x:v>NA02</x:v>
      </x:c>
      <x:c r="E36" s="15" t="str">
        <x:v>When roughness spans multiple scales</x:v>
      </x:c>
      <x:c r="F36" s="15" t="str">
        <x:v>Contact splitting benefits from hierarchy that improves conformity across scales.</x:v>
      </x:c>
      <x:c r="G36" s="15" t="str">
        <x:v>Gecko/CNT literature</x:v>
      </x:c>
      <x:c r="H36" s="15" t="str">
        <x:v>Ontology synthesis</x:v>
      </x:c>
      <x:c r="I36" s="15" t="str">
        <x:v>High</x:v>
      </x:c>
    </x:row>
    <x:row r="37" ht="43.5" customHeight="1">
      <x:c r="A37" s="36" t="str">
        <x:v>R033</x:v>
      </x:c>
      <x:c r="B37" s="15" t="str">
        <x:v>NA03 Make adhesion directional / anisotropic</x:v>
      </x:c>
      <x:c r="C37" s="15" t="str">
        <x:v>REVERSES_WITH</x:v>
      </x:c>
      <x:c r="D37" s="15" t="str">
        <x:v>Peel or reverse shear</x:v>
      </x:c>
      <x:c r="E37" s="15" t="str">
        <x:v>For directional fibrils</x:v>
      </x:c>
      <x:c r="F37" s="15" t="str">
        <x:v>Easy release can be designed as a different loading path rather than a weaker adhesive.</x:v>
      </x:c>
      <x:c r="G37" s="15" t="str">
        <x:v>Murphy 2009; gecko literature</x:v>
      </x:c>
      <x:c r="H37" s="15" t="str">
        <x:v>Source-derived</x:v>
      </x:c>
      <x:c r="I37" s="15" t="str">
        <x:v>Very high</x:v>
      </x:c>
    </x:row>
    <x:row r="38" ht="43.5" customHeight="1">
      <x:c r="A38" s="36" t="str">
        <x:v>R034</x:v>
      </x:c>
      <x:c r="B38" s="15" t="str">
        <x:v>NA04 Control system compliance and load path</x:v>
      </x:c>
      <x:c r="C38" s="15" t="str">
        <x:v>SCALES_WITH</x:v>
      </x:c>
      <x:c r="D38" s="15" t="str">
        <x:v>Contact area / system compliance</x:v>
      </x:c>
      <x:c r="E38" s="15" t="str">
        <x:v>For reversible load-bearing pads</x:v>
      </x:c>
      <x:c r="F38" s="15" t="str">
        <x:v>Force capacity depends on whole-system compliance, including components far from interface.</x:v>
      </x:c>
      <x:c r="G38" s="15" t="str">
        <x:v>King &amp; Crosby 2015; Imburgia thesis</x:v>
      </x:c>
      <x:c r="H38" s="15" t="str">
        <x:v>Source-derived</x:v>
      </x:c>
      <x:c r="I38" s="15" t="str">
        <x:v>Very high</x:v>
      </x:c>
    </x:row>
    <x:row r="39" ht="43.5" customHeight="1">
      <x:c r="A39" s="36" t="str">
        <x:v>R035</x:v>
      </x:c>
      <x:c r="B39" s="15" t="str">
        <x:v>NA04 Control system compliance and load path</x:v>
      </x:c>
      <x:c r="C39" s="15" t="str">
        <x:v>TRADEOFF_WITH</x:v>
      </x:c>
      <x:c r="D39" s="15" t="str">
        <x:v>Creep / deformation</x:v>
      </x:c>
      <x:c r="E39" s="15" t="str">
        <x:v>If interface and backing are too soft</x:v>
      </x:c>
      <x:c r="F39" s="15" t="str">
        <x:v>Conformability helps contact but excessive compliance reduces load stability.</x:v>
      </x:c>
      <x:c r="G39" s="15" t="str">
        <x:v>Compliance literature</x:v>
      </x:c>
      <x:c r="H39" s="15" t="str">
        <x:v>Ontology synthesis</x:v>
      </x:c>
      <x:c r="I39" s="15" t="str">
        <x:v>High</x:v>
      </x:c>
    </x:row>
    <x:row r="40" ht="43.5" customHeight="1">
      <x:c r="A40" s="36" t="str">
        <x:v>R036</x:v>
      </x:c>
      <x:c r="B40" s="15" t="str">
        <x:v>NA05 Trap and arrest detachment cracks</x:v>
      </x:c>
      <x:c r="C40" s="15" t="str">
        <x:v>PROTECTS_AGAINST</x:v>
      </x:c>
      <x:c r="D40" s="15" t="str">
        <x:v>Catastrophic edge crack propagation</x:v>
      </x:c>
      <x:c r="E40" s="15" t="str">
        <x:v>Large interfaces / flaws</x:v>
      </x:c>
      <x:c r="F40" s="15" t="str">
        <x:v>Interface toughness can be increased by trapping and redistributing detachment cracks.</x:v>
      </x:c>
      <x:c r="G40" s="15" t="str">
        <x:v>Glassmaker 2007</x:v>
      </x:c>
      <x:c r="H40" s="15" t="str">
        <x:v>Source-derived</x:v>
      </x:c>
      <x:c r="I40" s="15" t="str">
        <x:v>Very high</x:v>
      </x:c>
    </x:row>
    <x:row r="41" ht="43.5" customHeight="1">
      <x:c r="A41" s="36" t="str">
        <x:v>R037</x:v>
      </x:c>
      <x:c r="B41" s="15" t="str">
        <x:v>NA06 Use reversible molecular surface anchoring</x:v>
      </x:c>
      <x:c r="C41" s="15" t="str">
        <x:v>REQUIRES</x:v>
      </x:c>
      <x:c r="D41" s="15" t="str">
        <x:v>Surface-accessible molecular anchors</x:v>
      </x:c>
      <x:c r="E41" s="15" t="str">
        <x:v>Wet interface</x:v>
      </x:c>
      <x:c r="F41" s="15" t="str">
        <x:v>DOPA/catechol chemistry is most effective when useful groups can access the surface rather than being consumed by cohesion.</x:v>
      </x:c>
      <x:c r="G41" s="15" t="str">
        <x:v>Mussel molecular literature</x:v>
      </x:c>
      <x:c r="H41" s="15" t="str">
        <x:v>Source-derived</x:v>
      </x:c>
      <x:c r="I41" s="15" t="str">
        <x:v>High</x:v>
      </x:c>
    </x:row>
    <x:row r="42" ht="43.5" customHeight="1">
      <x:c r="A42" s="36" t="str">
        <x:v>R038</x:v>
      </x:c>
      <x:c r="B42" s="15" t="str">
        <x:v>NA06 Use reversible molecular surface anchoring</x:v>
      </x:c>
      <x:c r="C42" s="15" t="str">
        <x:v>TRADEOFF_WITH</x:v>
      </x:c>
      <x:c r="D42" s="15" t="str">
        <x:v>Reversibility</x:v>
      </x:c>
      <x:c r="E42" s="15" t="str">
        <x:v>As curing/covalent crosslinking increases</x:v>
      </x:c>
      <x:c r="F42" s="15" t="str">
        <x:v>Stronger permanent bonding can make release harder; switchable designs need an orthogonal release path.</x:v>
      </x:c>
      <x:c r="G42" s="15" t="str">
        <x:v>Mussel/switchable hydrogel literature</x:v>
      </x:c>
      <x:c r="H42" s="15" t="str">
        <x:v>Ontology synthesis</x:v>
      </x:c>
      <x:c r="I42" s="15" t="str">
        <x:v>High</x:v>
      </x:c>
    </x:row>
    <x:row r="43" ht="43.5" customHeight="1">
      <x:c r="A43" s="36" t="str">
        <x:v>R039</x:v>
      </x:c>
      <x:c r="B43" s="15" t="str">
        <x:v>NA08 Phase-separate and deliver adhesive without dilution</x:v>
      </x:c>
      <x:c r="C43" s="15" t="str">
        <x:v>PRECEDES</x:v>
      </x:c>
      <x:c r="D43" s="15" t="str">
        <x:v>NA06</x:v>
      </x:c>
      <x:c r="E43" s="15" t="str">
        <x:v>Underwater delivery before anchoring</x:v>
      </x:c>
      <x:c r="F43" s="15" t="str">
        <x:v>Dense-phase delivery can prevent dilution, then molecular anchors establish final interfacial adhesion.</x:v>
      </x:c>
      <x:c r="G43" s="15" t="str">
        <x:v>Mussel coacervate literature</x:v>
      </x:c>
      <x:c r="H43" s="15" t="str">
        <x:v>Source-derived + abstraction</x:v>
      </x:c>
      <x:c r="I43" s="15" t="str">
        <x:v>Very high</x:v>
      </x:c>
    </x:row>
    <x:row r="44" ht="43.5" customHeight="1">
      <x:c r="A44" s="36" t="str">
        <x:v>R040</x:v>
      </x:c>
      <x:c r="B44" s="15" t="str">
        <x:v>NA09 Dewet the interface before attaching</x:v>
      </x:c>
      <x:c r="C44" s="15" t="str">
        <x:v>PREPARES_INTERFACE_FOR</x:v>
      </x:c>
      <x:c r="D44" s="15" t="str">
        <x:v>NA10</x:v>
      </x:c>
      <x:c r="E44" s="15" t="str">
        <x:v>Underwater hydrophobic target</x:v>
      </x:c>
      <x:c r="F44" s="15" t="str">
        <x:v>Dewetting removes the water barrier so capillary/friction mechanisms can act.</x:v>
      </x:c>
      <x:c r="G44" s="15" t="str">
        <x:v>Hosoda &amp; Gorb 2012</x:v>
      </x:c>
      <x:c r="H44" s="15" t="str">
        <x:v>Source-derived</x:v>
      </x:c>
      <x:c r="I44" s="15" t="str">
        <x:v>Very high</x:v>
      </x:c>
    </x:row>
    <x:row r="45" ht="43.5" customHeight="1">
      <x:c r="A45" s="36" t="str">
        <x:v>R041</x:v>
      </x:c>
      <x:c r="B45" s="15" t="str">
        <x:v>NA10 Generate wet friction through drainage and edge density</x:v>
      </x:c>
      <x:c r="C45" s="15" t="str">
        <x:v>REQUIRES</x:v>
      </x:c>
      <x:c r="D45" s="15" t="str">
        <x:v>Liquid management or seal integrity</x:v>
      </x:c>
      <x:c r="E45" s="15" t="str">
        <x:v>Wet/flooded interfaces</x:v>
      </x:c>
      <x:c r="F45" s="15" t="str">
        <x:v>Drainage, thin fluid bridges, friction edges or suction only work if the interfacial liquid state is controlled.</x:v>
      </x:c>
      <x:c r="G45" s="15" t="str">
        <x:v>Frog/clingfish/octopus literature</x:v>
      </x:c>
      <x:c r="H45" s="15" t="str">
        <x:v>Ontology synthesis</x:v>
      </x:c>
      <x:c r="I45" s="15" t="str">
        <x:v>Very high</x:v>
      </x:c>
    </x:row>
    <x:row r="46" ht="43.5" customHeight="1">
      <x:c r="A46" s="36" t="str">
        <x:v>R042</x:v>
      </x:c>
      <x:c r="B46" s="15" t="str">
        <x:v>NA10 Generate wet friction through drainage and edge density</x:v>
      </x:c>
      <x:c r="C46" s="15" t="str">
        <x:v>LIMITED_BY</x:v>
      </x:c>
      <x:c r="D46" s="15" t="str">
        <x:v>Roughness / porosity</x:v>
      </x:c>
      <x:c r="E46" s="15" t="str">
        <x:v>For suction-dominant designs</x:v>
      </x:c>
      <x:c r="F46" s="15" t="str">
        <x:v>Surface leaks can destroy pressure differential even when the material is highly compliant.</x:v>
      </x:c>
      <x:c r="G46" s="15" t="str">
        <x:v>Octopus/clingfish literature</x:v>
      </x:c>
      <x:c r="H46" s="15" t="str">
        <x:v>Source-derived + abstraction</x:v>
      </x:c>
      <x:c r="I46" s="15" t="str">
        <x:v>High</x:v>
      </x:c>
    </x:row>
    <x:row r="47" ht="43.5" customHeight="1">
      <x:c r="A47" s="36" t="str">
        <x:v>R043</x:v>
      </x:c>
      <x:c r="B47" s="15" t="str">
        <x:v>NA11 Mechanically interlock after penetration</x:v>
      </x:c>
      <x:c r="C47" s="15" t="str">
        <x:v>CREATES</x:v>
      </x:c>
      <x:c r="D47" s="15" t="str">
        <x:v>Insertion-removal asymmetry</x:v>
      </x:c>
      <x:c r="E47" s="15" t="str">
        <x:v>Soft substrates</x:v>
      </x:c>
      <x:c r="F47" s="15" t="str">
        <x:v>Backward barbs can reduce insertion force while increasing pull-out resistance.</x:v>
      </x:c>
      <x:c r="G47" s="15" t="str">
        <x:v>Cho et al. 2012</x:v>
      </x:c>
      <x:c r="H47" s="15" t="str">
        <x:v>Source-derived</x:v>
      </x:c>
      <x:c r="I47" s="15" t="str">
        <x:v>Very high</x:v>
      </x:c>
    </x:row>
    <x:row r="48" ht="43.5" customHeight="1">
      <x:c r="A48" s="36" t="str">
        <x:v>R044</x:v>
      </x:c>
      <x:c r="B48" s="15" t="str">
        <x:v>NA12 Change shape after attachment</x:v>
      </x:c>
      <x:c r="C48" s="15" t="str">
        <x:v>PRECEDES</x:v>
      </x:c>
      <x:c r="D48" s="15" t="str">
        <x:v>Mechanical interlock</x:v>
      </x:c>
      <x:c r="E48" s="15" t="str">
        <x:v>After placement</x:v>
      </x:c>
      <x:c r="F48" s="15" t="str">
        <x:v>Shape change allows a compact insertion state and a larger holding state.</x:v>
      </x:c>
      <x:c r="G48" s="15" t="str">
        <x:v>Yang et al. 2013</x:v>
      </x:c>
      <x:c r="H48" s="15" t="str">
        <x:v>Source-derived</x:v>
      </x:c>
      <x:c r="I48" s="15" t="str">
        <x:v>Very high</x:v>
      </x:c>
    </x:row>
    <x:row r="49" ht="43.5" customHeight="1">
      <x:c r="A49" s="36" t="str">
        <x:v>R045</x:v>
      </x:c>
      <x:c r="B49" s="15" t="str">
        <x:v>NA13 Coordinate multiple adhesive units as a system</x:v>
      </x:c>
      <x:c r="C49" s="15" t="str">
        <x:v>OUTPERFORMS</x:v>
      </x:c>
      <x:c r="D49" s="15" t="str">
        <x:v>Independent pad optimization</x:v>
      </x:c>
      <x:c r="E49" s="15" t="str">
        <x:v>When multiple contacts share a load</x:v>
      </x:c>
      <x:c r="F49" s="15" t="str">
        <x:v>Coordinated antagonistic loading can make total attachment non-additive.</x:v>
      </x:c>
      <x:c r="G49" s="15" t="str">
        <x:v>Spider collective-effect paper</x:v>
      </x:c>
      <x:c r="H49" s="15" t="str">
        <x:v>Source-derived</x:v>
      </x:c>
      <x:c r="I49" s="15" t="str">
        <x:v>Very high</x:v>
      </x:c>
    </x:row>
    <x:row r="50" ht="43.5" customHeight="1">
      <x:c r="A50" s="36" t="str">
        <x:v>R046</x:v>
      </x:c>
      <x:c r="B50" s="15" t="str">
        <x:v>NA14 Regulate adhesion using environmental conditions</x:v>
      </x:c>
      <x:c r="C50" s="15" t="str">
        <x:v>DEPENDS_ON</x:v>
      </x:c>
      <x:c r="D50" s="15" t="str">
        <x:v>Full environmental response curve</x:v>
      </x:c>
      <x:c r="E50" s="15" t="str">
        <x:v>Humidity/rate-sensitive systems</x:v>
      </x:c>
      <x:c r="F50" s="15" t="str">
        <x:v>A single optimized RH or rate is not sufficient to predict field performance.</x:v>
      </x:c>
      <x:c r="G50" s="15" t="str">
        <x:v>Bee pollen 2019</x:v>
      </x:c>
      <x:c r="H50" s="15" t="str">
        <x:v>Source-derived</x:v>
      </x:c>
      <x:c r="I50" s="15" t="str">
        <x:v>Very high</x:v>
      </x:c>
    </x:row>
    <x:row r="51" ht="43.5" customHeight="1">
      <x:c r="A51" s="36" t="str">
        <x:v>R047</x:v>
      </x:c>
      <x:c r="B51" s="15" t="str">
        <x:v>NA14 Regulate adhesion using environmental conditions</x:v>
      </x:c>
      <x:c r="C51" s="15" t="str">
        <x:v>CAN_USE</x:v>
      </x:c>
      <x:c r="D51" s="15" t="str">
        <x:v>Protective second phase</x:v>
      </x:c>
      <x:c r="E51" s="15" t="str">
        <x:v>When water content must be stabilized</x:v>
      </x:c>
      <x:c r="F51" s="15" t="str">
        <x:v>A nonadhesive oil layer can protect the adhesive phase from humidity swings.</x:v>
      </x:c>
      <x:c r="G51" s="15" t="str">
        <x:v>Bee pollen 2019</x:v>
      </x:c>
      <x:c r="H51" s="15" t="str">
        <x:v>Source-derived</x:v>
      </x:c>
      <x:c r="I51" s="15" t="str">
        <x:v>Very high</x:v>
      </x:c>
    </x:row>
    <x:row r="52" ht="43.5" customHeight="1">
      <x:c r="A52" s="36" t="str">
        <x:v>R048</x:v>
      </x:c>
      <x:c r="B52" s="15" t="str">
        <x:v>NA15 Switch material state to attach / release</x:v>
      </x:c>
      <x:c r="C52" s="15" t="str">
        <x:v>REQUIRES</x:v>
      </x:c>
      <x:c r="D52" s="15" t="str">
        <x:v>Distinct attach and release states</x:v>
      </x:c>
      <x:c r="E52" s="15" t="str">
        <x:v>Switchable applications</x:v>
      </x:c>
      <x:c r="F52" s="15" t="str">
        <x:v>The larger and more reliable the state contrast, the less compromise between holding force and release force.</x:v>
      </x:c>
      <x:c r="G52" s="15" t="str">
        <x:v>Snail/octopus/Pang 2023</x:v>
      </x:c>
      <x:c r="H52" s="15" t="str">
        <x:v>Ontology synthesis</x:v>
      </x:c>
      <x:c r="I52" s="15" t="str">
        <x:v>High</x:v>
      </x:c>
    </x:row>
    <x:row r="53" ht="43.5" customHeight="1">
      <x:c r="A53" s="36" t="str">
        <x:v>R049</x:v>
      </x:c>
      <x:c r="B53" s="15" t="str">
        <x:v>NA15 Switch material state to attach / release</x:v>
      </x:c>
      <x:c r="C53" s="15" t="str">
        <x:v>LIMITED_BY</x:v>
      </x:c>
      <x:c r="D53" s="15" t="str">
        <x:v>Trigger availability / false activation</x:v>
      </x:c>
      <x:c r="E53" s="15" t="str">
        <x:v>Responsive systems</x:v>
      </x:c>
      <x:c r="F53" s="15" t="str">
        <x:v>A trigger that works in the lab may be unsafe if ambient water, heat or fields cause unintended release.</x:v>
      </x:c>
      <x:c r="G53" s="15" t="str">
        <x:v>Snail attached file + responsive adhesive literature</x:v>
      </x:c>
      <x:c r="H53" s="15" t="str">
        <x:v>Source-derived + abstraction</x:v>
      </x:c>
      <x:c r="I53" s="15" t="str">
        <x:v>High</x:v>
      </x:c>
    </x:row>
    <x:row r="54" ht="43.5" customHeight="1">
      <x:c r="A54" s="36" t="str">
        <x:v>R050</x:v>
      </x:c>
      <x:c r="B54" s="15" t="str">
        <x:v>NA07 Combine structural + chemical adhesion</x:v>
      </x:c>
      <x:c r="C54" s="15" t="str">
        <x:v>COMBINES</x:v>
      </x:c>
      <x:c r="D54" s="15" t="str">
        <x:v>Structural contact + interfacial chemistry</x:v>
      </x:c>
      <x:c r="E54" s="15" t="str">
        <x:v>Wet/dry or complex interfaces</x:v>
      </x:c>
      <x:c r="F54" s="15" t="str">
        <x:v>Assigning different functions to geometry and chemistry can outperform either mechanism alone.</x:v>
      </x:c>
      <x:c r="G54" s="15" t="str">
        <x:v>Geckel Nature 2007; octopus protein patch</x:v>
      </x:c>
      <x:c r="H54" s="15" t="str">
        <x:v>Source-derived</x:v>
      </x:c>
      <x:c r="I54" s="15" t="str">
        <x:v>Very high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8cafdd78db94086"/>
  </x:tableParts>
</x:worksheet>
</file>

<file path=xl/worksheets/sheet13.xml><?xml version="1.0" encoding="utf-8"?>
<x:worksheet xmlns:x="http://schemas.openxmlformats.org/spreadsheetml/2006/main">
  <x:sheetFormatPr defaultColWidth="8.6328125" defaultRowHeight="14.5"/>
  <x:cols>
    <x:col min="1" max="1" width="8" style="12" customWidth="1"/>
    <x:col min="2" max="2" width="34" style="12" customWidth="1"/>
    <x:col min="3" max="3" width="24" style="12" customWidth="1"/>
    <x:col min="4" max="4" width="34" style="12" customWidth="1"/>
    <x:col min="5" max="5" width="22" style="12" customWidth="1"/>
  </x:cols>
  <x:sheetData>
    <x:row r="1" ht="16.5">
      <x:c r="A1" s="41" t="str">
        <x:v>Adhesion sub-strategies → main Nature ontology vocabulary</x:v>
      </x:c>
    </x:row>
    <x:row r="2" ht="13">
      <x:c r="A2" s="3" t="str">
        <x:v>Keep NA01–NA15 as the specialist adhesion vocabulary. This bridge lets a general Nature ontology retrieve them without flattening their mechanism precision. Exact canonical term matching to the master ontology should be checked before ingestion.</x:v>
      </x:c>
      <x:c r="B2" s="3"/>
      <x:c r="C2" s="3"/>
      <x:c r="D2" s="3"/>
      <x:c r="E2" s="3"/>
    </x:row>
    <x:row r="4" ht="31.5" customHeight="1">
      <x:c r="A4" s="42" t="str">
        <x:v>ID</x:v>
      </x:c>
      <x:c r="B4" s="42" t="str">
        <x:v>Adhesion sub-strategy (keep as is)</x:v>
      </x:c>
      <x:c r="C4" s="42" t="str">
        <x:v>◄ Ontology function</x:v>
      </x:c>
      <x:c r="D4" s="42" t="str">
        <x:v>◄ Ontology strategy</x:v>
      </x:c>
      <x:c r="E4" s="42" t="str">
        <x:v>◄ Operating principle</x:v>
      </x:c>
    </x:row>
    <x:row r="5" ht="30" customHeight="1">
      <x:c r="A5" s="43" t="str">
        <x:v>NA01</x:v>
      </x:c>
      <x:c r="B5" s="44" t="str">
        <x:v>Split contact into many small contacts</x:v>
      </x:c>
      <x:c r="C5" s="34" t="str">
        <x:v>Strength</x:v>
      </x:c>
      <x:c r="D5" s="34" t="str">
        <x:v>Contact multiplication; distributed load sharing</x:v>
      </x:c>
      <x:c r="E5" s="34" t="str">
        <x:v>Multi-scale</x:v>
      </x:c>
    </x:row>
    <x:row r="6" ht="30" customHeight="1">
      <x:c r="A6" s="43" t="str">
        <x:v>NA02</x:v>
      </x:c>
      <x:c r="B6" s="44" t="str">
        <x:v>Build hierarchy across scales</x:v>
      </x:c>
      <x:c r="C6" s="34" t="str">
        <x:v>Strength</x:v>
      </x:c>
      <x:c r="D6" s="34" t="str">
        <x:v>Hierarchy; multi-scale load distribution</x:v>
      </x:c>
      <x:c r="E6" s="34" t="str">
        <x:v>Multi-scale</x:v>
      </x:c>
    </x:row>
    <x:row r="7" ht="30" customHeight="1">
      <x:c r="A7" s="43" t="str">
        <x:v>NA03</x:v>
      </x:c>
      <x:c r="B7" s="44" t="str">
        <x:v>Make adhesion directional / anisotropic</x:v>
      </x:c>
      <x:c r="C7" s="34" t="str">
        <x:v>Adaptation</x:v>
      </x:c>
      <x:c r="D7" s="34" t="str">
        <x:v>Directional response; controlled release</x:v>
      </x:c>
      <x:c r="E7" s="34" t="str">
        <x:v>Locality</x:v>
      </x:c>
    </x:row>
    <x:row r="8" ht="30" customHeight="1">
      <x:c r="A8" s="43" t="str">
        <x:v>NA04</x:v>
      </x:c>
      <x:c r="B8" s="44" t="str">
        <x:v>Control system compliance and load path</x:v>
      </x:c>
      <x:c r="C8" s="34" t="str">
        <x:v>Strength</x:v>
      </x:c>
      <x:c r="D8" s="34" t="str">
        <x:v>Gradient stiffness; load-path optimization</x:v>
      </x:c>
      <x:c r="E8" s="34" t="str">
        <x:v>Gradient</x:v>
      </x:c>
    </x:row>
    <x:row r="9" ht="30" customHeight="1">
      <x:c r="A9" s="43" t="str">
        <x:v>NA05</x:v>
      </x:c>
      <x:c r="B9" s="44" t="str">
        <x:v>Trap and arrest detachment cracks</x:v>
      </x:c>
      <x:c r="C9" s="34" t="str">
        <x:v>Strength</x:v>
      </x:c>
      <x:c r="D9" s="34" t="str">
        <x:v>Crack trapping; fault tolerance</x:v>
      </x:c>
      <x:c r="E9" s="34" t="str">
        <x:v>Multi-scale</x:v>
      </x:c>
    </x:row>
    <x:row r="10" ht="30" customHeight="1">
      <x:c r="A10" s="43" t="str">
        <x:v>NA06</x:v>
      </x:c>
      <x:c r="B10" s="44" t="str">
        <x:v>Use reversible molecular surface anchoring</x:v>
      </x:c>
      <x:c r="C10" s="34" t="str">
        <x:v>Attachment / positioning</x:v>
      </x:c>
      <x:c r="D10" s="34" t="str">
        <x:v>Interfacial bonding; reversible chemistry</x:v>
      </x:c>
      <x:c r="E10" s="34" t="str">
        <x:v>Locality</x:v>
      </x:c>
    </x:row>
    <x:row r="11" ht="30" customHeight="1">
      <x:c r="A11" s="43" t="str">
        <x:v>NA07</x:v>
      </x:c>
      <x:c r="B11" s="44" t="str">
        <x:v>Combine structural + chemical adhesion</x:v>
      </x:c>
      <x:c r="C11" s="34" t="str">
        <x:v>Attachment / positioning</x:v>
      </x:c>
      <x:c r="D11" s="34" t="str">
        <x:v>Hybrid multi-mechanism interface</x:v>
      </x:c>
      <x:c r="E11" s="34" t="str">
        <x:v>Multi-scale</x:v>
      </x:c>
    </x:row>
    <x:row r="12" ht="30" customHeight="1">
      <x:c r="A12" s="43" t="str">
        <x:v>NA08</x:v>
      </x:c>
      <x:c r="B12" s="44" t="str">
        <x:v>Phase-separate and deliver adhesive without dilution</x:v>
      </x:c>
      <x:c r="C12" s="34" t="str">
        <x:v>Transport &amp; delivery</x:v>
      </x:c>
      <x:c r="D12" s="34" t="str">
        <x:v>Phase separation; targeted delivery</x:v>
      </x:c>
      <x:c r="E12" s="34" t="str">
        <x:v>Gradient</x:v>
      </x:c>
    </x:row>
    <x:row r="13" ht="30" customHeight="1">
      <x:c r="A13" s="43" t="str">
        <x:v>NA09</x:v>
      </x:c>
      <x:c r="B13" s="44" t="str">
        <x:v>Dewet the interface before attaching</x:v>
      </x:c>
      <x:c r="C13" s="34" t="str">
        <x:v>Protective envelope</x:v>
      </x:c>
      <x:c r="D13" s="34" t="str">
        <x:v>Selective dewetting; interface preparation</x:v>
      </x:c>
      <x:c r="E13" s="34" t="str">
        <x:v>Locality</x:v>
      </x:c>
    </x:row>
    <x:row r="14" ht="30" customHeight="1">
      <x:c r="A14" s="43" t="str">
        <x:v>NA10</x:v>
      </x:c>
      <x:c r="B14" s="44" t="str">
        <x:v>Generate wet friction through drainage and edge density</x:v>
      </x:c>
      <x:c r="C14" s="34" t="str">
        <x:v>Resistance reduction</x:v>
      </x:c>
      <x:c r="D14" s="34" t="str">
        <x:v>Fluid drainage; wet friction; pressure control</x:v>
      </x:c>
      <x:c r="E14" s="34" t="str">
        <x:v>Locality</x:v>
      </x:c>
    </x:row>
    <x:row r="15">
      <x:c r="A15" t="str">
        <x:v>NA11</x:v>
      </x:c>
      <x:c r="B15" t="str">
        <x:v>Mechanically interlock after penetration</x:v>
      </x:c>
      <x:c r="C15" t="str">
        <x:v>Attachment / positioning</x:v>
      </x:c>
      <x:c r="D15" t="str">
        <x:v>Mechanical interlocking</x:v>
      </x:c>
      <x:c r="E15" t="str">
        <x:v>Locality</x:v>
      </x:c>
    </x:row>
    <x:row r="16">
      <x:c r="A16" t="str">
        <x:v>NA12</x:v>
      </x:c>
      <x:c r="B16" t="str">
        <x:v>Change shape after attachment</x:v>
      </x:c>
      <x:c r="C16" t="str">
        <x:v>Adaptation</x:v>
      </x:c>
      <x:c r="D16" t="str">
        <x:v>Post-placement shape transformation</x:v>
      </x:c>
      <x:c r="E16" t="str">
        <x:v>Transformation</x:v>
      </x:c>
    </x:row>
    <x:row r="17" ht="18" customHeight="1">
      <x:c r="A17" s="45" t="str">
        <x:v>NA13</x:v>
      </x:c>
      <x:c r="B17" s="2" t="str">
        <x:v>Coordinate multiple adhesive units as a system</x:v>
      </x:c>
      <x:c r="C17" s="2" t="str">
        <x:v>Communication &amp; feedback</x:v>
      </x:c>
      <x:c r="D17" s="2" t="str">
        <x:v>Distributed coordination; load sharing</x:v>
      </x:c>
      <x:c r="E17" s="2" t="str">
        <x:v>Network</x:v>
      </x:c>
    </x:row>
    <x:row r="18" ht="39.75" customHeight="1">
      <x:c r="A18" s="46" t="str">
        <x:v>NA14</x:v>
      </x:c>
      <x:c r="B18" s="1" t="str">
        <x:v>Regulate adhesion using environmental conditions</x:v>
      </x:c>
      <x:c r="C18" s="1" t="str">
        <x:v>Adaptation</x:v>
      </x:c>
      <x:c r="D18" s="1" t="str">
        <x:v>Environmental / rate responsiveness</x:v>
      </x:c>
      <x:c r="E18" s="1" t="str">
        <x:v>Feedback</x:v>
      </x:c>
    </x:row>
    <x:row r="19" ht="39.75" customHeight="1">
      <x:c r="A19" s="46" t="str">
        <x:v>NA15</x:v>
      </x:c>
      <x:c r="B19" s="1" t="str">
        <x:v>Switch material state to attach / release</x:v>
      </x:c>
      <x:c r="C19" s="1" t="str">
        <x:v>Adaptation</x:v>
      </x:c>
      <x:c r="D19" s="1" t="str">
        <x:v>State switching; reversible locking</x:v>
      </x:c>
      <x:c r="E19" s="1" t="str">
        <x:v>Cyclicity</x:v>
      </x:c>
    </x:row>
    <x:row r="20" ht="39.75" customHeight="1">
      <x:c r="A20" s="46"/>
      <x:c r="B20" s="1"/>
      <x:c r="C20" s="1"/>
      <x:c r="D20" s="1"/>
      <x:c r="E20" s="1"/>
    </x:row>
    <x:row r="21" ht="18" customHeight="1">
      <x:c r="A21" s="46" t="str">
        <x:v>Repository rule</x:v>
      </x:c>
      <x:c r="B21" s="1"/>
      <x:c r="C21" s="1"/>
      <x:c r="D21" s="1"/>
      <x:c r="E21" s="1"/>
    </x:row>
    <x:row r="22" ht="18" customHeight="1">
      <x:c r="A22" s="45" t="str">
        <x:v>Precision is the asset</x:v>
      </x:c>
      <x:c r="B22" s="2" t="str">
        <x:v>Do not rename the 15 mechanisms into generic terms; use the bridge instead.</x:v>
      </x:c>
      <x:c r="C22" s="2"/>
      <x:c r="D22" s="2"/>
      <x:c r="E22" s="2"/>
    </x:row>
    <x:row r="23" ht="39.75" customHeight="1">
      <x:c r="A23" s="46" t="str">
        <x:v>One-to-many is expected</x:v>
      </x:c>
      <x:c r="B23" s="1" t="str">
        <x:v>Several adhesion strategies can map to the same general function or operating principle.</x:v>
      </x:c>
      <x:c r="C23" s="1"/>
      <x:c r="D23" s="1"/>
      <x:c r="E23" s="1"/>
    </x:row>
    <x:row r="24" ht="39.75" customHeight="1">
      <x:c r="A24" s="46" t="str">
        <x:v>Verify canonical spelling</x:v>
      </x:c>
      <x:c r="B24" s="1" t="str">
        <x:v>Before graph ingestion, match columns C–E to the master Nature ontology's exact canonical terms/language.</x:v>
      </x:c>
      <x:c r="C24" s="1"/>
      <x:c r="D24" s="1"/>
      <x:c r="E24" s="1"/>
    </x:row>
  </x:sheetData>
  <x:mergeCells>
    <x:mergeCell ref="B21:E21"/>
    <x:mergeCell ref="B22:E22"/>
    <x:mergeCell ref="B23:E23"/>
    <x:mergeCell ref="B24:E24"/>
    <x:mergeCell ref="A2:E2"/>
    <x:mergeCell ref="B17:E17"/>
    <x:mergeCell ref="B18:E18"/>
    <x:mergeCell ref="B19:E19"/>
    <x:mergeCell ref="B20:E20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ColWidth="8.6328125" defaultRowHeight="14.5"/>
  <x:cols>
    <x:col min="1" max="1" width="30" style="12" customWidth="1"/>
    <x:col min="2" max="2" width="88" style="12" customWidth="1"/>
  </x:cols>
  <x:sheetData>
    <x:row r="1" ht="18" customHeight="1">
      <x:c r="A1" s="45" t="str">
        <x:v>Maturity — how to fill it</x:v>
      </x:c>
      <x:c r="B1" s="45"/>
    </x:row>
    <x:row r="2" ht="43.5" customHeight="1">
      <x:c r="A2" s="46" t="str">
        <x:v>Why it was added</x:v>
      </x:c>
      <x:c r="B2" s="47" t="str">
        <x:v>'Engineering implementation' says what was built, not whether it is a one-off lab pad, a pilot manufacturing process, or an established product. Adhesion performance often falls sharply when surface area, roughness, contamination or cycle count increase.</x:v>
      </x:c>
    </x:row>
    <x:row r="3" ht="18" customHeight="1">
      <x:c r="A3" s="46"/>
      <x:c r="B3" s="47"/>
    </x:row>
    <x:row r="4" ht="18" customHeight="1">
      <x:c r="A4" s="45" t="str">
        <x:v>The five levels</x:v>
      </x:c>
      <x:c r="B4" s="45"/>
    </x:row>
    <x:row r="5" ht="43.5" customHeight="1">
      <x:c r="A5" s="46" t="str">
        <x:v>Lab-scale</x:v>
      </x:c>
      <x:c r="B5" s="47" t="str">
        <x:v>Demonstrated in a peer-reviewed paper or academic prototype under controlled conditions.</x:v>
      </x:c>
    </x:row>
    <x:row r="6" ht="43.5" customHeight="1">
      <x:c r="A6" s="46" t="str">
        <x:v>Pilot / scaled demo</x:v>
      </x:c>
      <x:c r="B6" s="47" t="str">
        <x:v>Larger device, repeated manufacturing batch, pilot line, field or application-relevant scale; not routine production.</x:v>
      </x:c>
    </x:row>
    <x:row r="7" ht="43.5" customHeight="1">
      <x:c r="A7" s="46" t="str">
        <x:v>In production</x:v>
      </x:c>
      <x:c r="B7" s="47" t="str">
        <x:v>A company or institution manufactures and uses the adhesive technology in a real application. Always state the industry/use case.</x:v>
      </x:c>
    </x:row>
    <x:row r="8" ht="43.5" customHeight="1">
      <x:c r="A8" s="46" t="str">
        <x:v>Commodity</x:v>
      </x:c>
      <x:c r="B8" s="47" t="str">
        <x:v>Multiple suppliers, standard equipment/processes, predictable specifications and cost.</x:v>
      </x:c>
    </x:row>
    <x:row r="9" ht="43.5" customHeight="1">
      <x:c r="A9" s="46" t="str">
        <x:v>N/A — biological mechanism / review</x:v>
      </x:c>
      <x:c r="B9" s="47" t="str">
        <x:v>The row anchors a natural mechanism or synthesis source rather than an engineered implementation.</x:v>
      </x:c>
    </x:row>
    <x:row r="10" ht="18" customHeight="1">
      <x:c r="A10" s="46"/>
      <x:c r="B10" s="47"/>
    </x:row>
    <x:row r="11" ht="18" customHeight="1">
      <x:c r="A11" s="45" t="str">
        <x:v>Two mandatory companions</x:v>
      </x:c>
      <x:c r="B11" s="45"/>
    </x:row>
    <x:row r="12" ht="43.5" customHeight="1">
      <x:c r="A12" s="46" t="str">
        <x:v>Maturity evidence</x:v>
      </x:c>
      <x:c r="B12" s="47" t="str">
        <x:v>What the level rests on: single paper, multiple groups, patent, pilot, commercial product, or field deployment.</x:v>
      </x:c>
    </x:row>
    <x:row r="13" ht="43.5" customHeight="1">
      <x:c r="A13" s="46" t="str">
        <x:v>Scale-up blocker</x:v>
      </x:c>
      <x:c r="B13" s="47" t="str">
        <x:v>The specific barrier: microfeature yield, contamination, roughness tolerance, coating uniformity, curing time, actuation energy, regulatory approval, tissue damage, or cost.</x:v>
      </x:c>
    </x:row>
    <x:row r="14" ht="18" customHeight="1">
      <x:c r="A14" s="46"/>
      <x:c r="B14" s="47"/>
    </x:row>
    <x:row r="15" ht="18" customHeight="1">
      <x:c r="A15" s="45" t="str">
        <x:v>Read this before trusting the column</x:v>
      </x:c>
      <x:c r="B15" s="45"/>
    </x:row>
    <x:row r="16" ht="43.5" customHeight="1">
      <x:c r="A16" s="46" t="str">
        <x:v>Citation volume is not maturity</x:v>
      </x:c>
      <x:c r="B16" s="47" t="str">
        <x:v>A seminal or widely cited adhesion paper may still describe only small clean laboratory samples.</x:v>
      </x:c>
    </x:row>
    <x:row r="17" ht="43.5" customHeight="1">
      <x:c r="A17" s="46" t="str">
        <x:v>A patent is not proof of field performance</x:v>
      </x:c>
      <x:c r="B17" s="47" t="str">
        <x:v>Patents show claimed novelty/application intent. They are useful translation evidence but should not be weighted like peer-reviewed performance data.</x:v>
      </x:c>
    </x:row>
    <x:row r="18" ht="43.5" customHeight="1">
      <x:c r="A18" s="46" t="str">
        <x:v>Environment matters</x:v>
      </x:c>
      <x:c r="B18" s="47" t="str">
        <x:v>An adhesive mature on clean glass may be immature on skin, seawater, dusty concrete, vacuum, or rough industrial surfaces.</x:v>
      </x:c>
    </x:row>
  </x:sheetData>
  <x:pageMargins left="0.7" right="0.7" top="0.75" bottom="0.75" header="0.3" footer="0.3"/>
</x:worksheet>
</file>