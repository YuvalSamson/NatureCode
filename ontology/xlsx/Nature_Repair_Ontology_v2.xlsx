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elan\NatureCode\NatureCode engine\NC Updated\Knowledge\"/>
    </mc:Choice>
  </mc:AlternateContent>
  <xr:revisionPtr revIDLastSave="0" documentId="13_ncr:1_{BA5826E9-DE0D-4B3D-8585-D37954D31ACC}" xr6:coauthVersionLast="47" xr6:coauthVersionMax="47" xr10:uidLastSave="{00000000-0000-0000-0000-000000000000}"/>
  <bookViews>
    <workbookView xWindow="57480" yWindow="-8100" windowWidth="29040" windowHeight="15720" tabRatio="500" firstSheet="1" activeTab="1" xr2:uid="{00000000-000D-0000-FFFF-FFFF00000000}"/>
  </bookViews>
  <sheets>
    <sheet name="Knowledge Map" sheetId="1" r:id="rId1"/>
    <sheet name="Papers (60)" sheetId="2" r:id="rId2"/>
    <sheet name="Engine Schema" sheetId="3" r:id="rId3"/>
    <sheet name="Legacy Map (10)" sheetId="4" r:id="rId4"/>
    <sheet name="Paper→Ontology" sheetId="5" r:id="rId5"/>
    <sheet name="Repair Strategies" sheetId="6" r:id="rId6"/>
    <sheet name="Biological Primitives" sheetId="7" r:id="rId7"/>
    <sheet name="Biological Models" sheetId="8" r:id="rId8"/>
    <sheet name="Challenge→Strategy" sheetId="9" r:id="rId9"/>
    <sheet name="Evaluation Metrics" sheetId="10" r:id="rId10"/>
    <sheet name="Attached Sources" sheetId="11" r:id="rId11"/>
    <sheet name="Reasoning Relations" sheetId="12" r:id="rId12"/>
    <sheet name="Ontology Bridge" sheetId="13" r:id="rId13"/>
    <sheet name="Maturity Guide"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J30" i="1" l="1"/>
  <c r="M19" i="1" s="1"/>
  <c r="J29" i="1"/>
  <c r="J28" i="1"/>
  <c r="J27" i="1"/>
  <c r="J26" i="1"/>
  <c r="J25" i="1"/>
  <c r="J24" i="1"/>
  <c r="M13" i="1" s="1"/>
  <c r="J23" i="1"/>
  <c r="M12" i="1" s="1"/>
  <c r="J22" i="1"/>
  <c r="J21" i="1"/>
  <c r="M10" i="1" s="1"/>
  <c r="J20" i="1"/>
  <c r="M9" i="1" s="1"/>
  <c r="L19" i="1"/>
  <c r="J19" i="1"/>
  <c r="M18" i="1"/>
  <c r="L18" i="1"/>
  <c r="J18" i="1"/>
  <c r="M7" i="1" s="1"/>
  <c r="M17" i="1"/>
  <c r="L17" i="1"/>
  <c r="J17" i="1"/>
  <c r="M16" i="1"/>
  <c r="L16" i="1"/>
  <c r="J16" i="1"/>
  <c r="M5" i="1" s="1"/>
  <c r="M15" i="1"/>
  <c r="L15" i="1"/>
  <c r="J15" i="1"/>
  <c r="M4" i="1" s="1"/>
  <c r="M14" i="1"/>
  <c r="L14" i="1"/>
  <c r="L13" i="1"/>
  <c r="L12" i="1"/>
  <c r="M11" i="1"/>
  <c r="L11" i="1"/>
  <c r="L10" i="1"/>
  <c r="L9" i="1"/>
  <c r="M8" i="1"/>
  <c r="L8" i="1"/>
  <c r="L7" i="1"/>
  <c r="M6" i="1"/>
  <c r="L6" i="1"/>
  <c r="L5" i="1"/>
  <c r="L4" i="1"/>
</calcChain>
</file>

<file path=xl/sharedStrings.xml><?xml version="1.0" encoding="utf-8"?>
<sst xmlns="http://schemas.openxmlformats.org/spreadsheetml/2006/main" count="5277" uniqueCount="3326">
  <si>
    <t>Nature Repair Ontology — Biological Repair Logic → Engineering Reasoning</t>
  </si>
  <si>
    <t>60-paper mapping snapshot</t>
  </si>
  <si>
    <t>Expanded from the 60-paper literature map and integrated with the attached reviews, primary studies, thesis, supporting information, and preprints. Core reasoning architecture: DETECT → STABILIZE / CONTAIN → MOBILIZE → RECONSTRUCT → REMODEL / VERIFY.</t>
  </si>
  <si>
    <t>Strategy</t>
  </si>
  <si>
    <t>Mapped evidence links</t>
  </si>
  <si>
    <t>Repair architecture: the sequence the engine should reason through</t>
  </si>
  <si>
    <t>Phase</t>
  </si>
  <si>
    <t>Core question</t>
  </si>
  <si>
    <t>Nature logic</t>
  </si>
  <si>
    <t>Key ontology fields</t>
  </si>
  <si>
    <t>Representative strategies</t>
  </si>
  <si>
    <t>0 PREVENT</t>
  </si>
  <si>
    <t>Can damage be avoided or reduced before repair is needed?</t>
  </si>
  <si>
    <t>Protect vulnerable tissue; renew exposed surfaces; deflect cracks.</t>
  </si>
  <si>
    <t>Damage type • exposure • protective layer • sacrificial zone</t>
  </si>
  <si>
    <t>NR01 Protect; NR07 Renew/Shed; NR10 Hierarchical crack control</t>
  </si>
  <si>
    <t>1 DETECT</t>
  </si>
  <si>
    <t>What changed, where, and how severe is it?</t>
  </si>
  <si>
    <t>Mechanical/chemical recognition initiates a local response.</t>
  </si>
  <si>
    <t>Sensor • threshold • location • feedback signal</t>
  </si>
  <si>
    <t>NR15 Sense→Signal→Repair</t>
  </si>
  <si>
    <t>2 STABILIZE / CONTAIN</t>
  </si>
  <si>
    <t>What must happen immediately to stop cascading failure?</t>
  </si>
  <si>
    <t>Clot, seal, isolate, sacrifice, or arrest propagation before full repair.</t>
  </si>
  <si>
    <t>Urgency • leak/ingress • propagation risk • containment boundary</t>
  </si>
  <si>
    <t>NR02 Contain; NR03 Plug/Seal; NR04 Adhesive rejoin; NR09 Sacrificial recovery</t>
  </si>
  <si>
    <t>3 MOBILIZE</t>
  </si>
  <si>
    <t>Where do repair resources come from and how do they reach damage?</t>
  </si>
  <si>
    <t>Release stored material, transport through networks, recruit cells, or use ambient resources.</t>
  </si>
  <si>
    <t>Resource location • transport • energy • depletion • access</t>
  </si>
  <si>
    <t>NR05 Reservoir release; NR06 Vascular transport; NR14 Adaptive reconfiguration</t>
  </si>
  <si>
    <t>4 RECONSTRUCT</t>
  </si>
  <si>
    <t>How is continuity or missing material restored?</t>
  </si>
  <si>
    <t>Rebond, deposit mineral, regrow tissue, or recycle mobile matter.</t>
  </si>
  <si>
    <t>Reconstruction mode • scale • interface contact • chemistry</t>
  </si>
  <si>
    <t>NR08 Dynamic rebond; NR11 Biomineralize/Regrow; NR13 Dissolve→Redistribute→Redeploy</t>
  </si>
  <si>
    <t>5 REMODEL / VERIFY</t>
  </si>
  <si>
    <t>Has the relevant function returned, and can the system recover again?</t>
  </si>
  <si>
    <t>Remodel, restore multiple functions, monitor status, replenish resources.</t>
  </si>
  <si>
    <t>Function restored • recovery metric • cycles • depth • residual defect</t>
  </si>
  <si>
    <t>NR12 Living remodeling; NR15 Sense→Signal→Repair; NR16 Staged repair</t>
  </si>
  <si>
    <t>16 reusable Nature Repair strategies</t>
  </si>
  <si>
    <t>ID</t>
  </si>
  <si>
    <t>Primary phase</t>
  </si>
  <si>
    <t>Biological primitive</t>
  </si>
  <si>
    <t>Representative biological models</t>
  </si>
  <si>
    <t>Abstract engineering rule</t>
  </si>
  <si>
    <t>Typical trigger</t>
  </si>
  <si>
    <t>Repeatability</t>
  </si>
  <si>
    <t>Primary trade-off</t>
  </si>
  <si>
    <t>60-paper links*</t>
  </si>
  <si>
    <t>NR01</t>
  </si>
  <si>
    <t>Protect / prevent damage</t>
  </si>
  <si>
    <t>0 Prevent</t>
  </si>
  <si>
    <t>Protective surface</t>
  </si>
  <si>
    <t>Bark; arthropod exoskeleton; skin</t>
  </si>
  <si>
    <t>Place a durable or functional outer layer ahead of vulnerable structure so damage is absorbed, repelled, or slowed before it reaches critical material.</t>
  </si>
  <si>
    <t>Exposure / contact / environment</t>
  </si>
  <si>
    <t>Continuous if renewed</t>
  </si>
  <si>
    <t>Added layer can add mass, stiffness, or transport resistance</t>
  </si>
  <si>
    <t>NR02</t>
  </si>
  <si>
    <t>Contain / compartmentalize</t>
  </si>
  <si>
    <t>2 Stabilize</t>
  </si>
  <si>
    <t>Compartmentalization / boundary formation</t>
  </si>
  <si>
    <t>Trees (CODIT); immune barriers</t>
  </si>
  <si>
    <t>When full restoration is costly or risky, isolate the damaged zone with physical/chemical boundaries to prevent propagation.</t>
  </si>
  <si>
    <t>Damage / infection / ingress</t>
  </si>
  <si>
    <t>Potentially repeatable in new zones</t>
  </si>
  <si>
    <t>Sacrifices local function or material</t>
  </si>
  <si>
    <t>NR03</t>
  </si>
  <si>
    <t>Rapid plug / seal</t>
  </si>
  <si>
    <t>Clotting / aggregation</t>
  </si>
  <si>
    <t>Blood clotting; hemolymph clotting; plant wound exudates</t>
  </si>
  <si>
    <t>Aggregate or precipitate material rapidly at the breach to stop leakage/ingress before slower reconstruction.</t>
  </si>
  <si>
    <t>Breach / fluid flow / local chemistry</t>
  </si>
  <si>
    <t>Usually limited unless resources replenish</t>
  </si>
  <si>
    <t>Fast sealing may not restore strength</t>
  </si>
  <si>
    <t>NR04</t>
  </si>
  <si>
    <t>Adhesive rejoin</t>
  </si>
  <si>
    <t>Wet adhesion / interfacial bonding</t>
  </si>
  <si>
    <t>Mussel byssus; tissue adhesion</t>
  </si>
  <si>
    <t>Create high-affinity reversible or covalent interactions at damaged interfaces so separated surfaces reconnect under wet or dynamic conditions.</t>
  </si>
  <si>
    <t>Contact / water / pH / ions</t>
  </si>
  <si>
    <t>Multiple if bonds reversible</t>
  </si>
  <si>
    <t>Strong adhesion can reduce molecular mobility</t>
  </si>
  <si>
    <t>NR05</t>
  </si>
  <si>
    <t>Reservoir release</t>
  </si>
  <si>
    <t>3 Mobilize</t>
  </si>
  <si>
    <t>Vascular cells / capsules</t>
  </si>
  <si>
    <t>Weeping fig latex cells; secretory cells</t>
  </si>
  <si>
    <t>Store reactive resources separately and release them only when damage intersects the reservoir.</t>
  </si>
  <si>
    <t>Crack rupture / chemical trigger</t>
  </si>
  <si>
    <t>Often single-shot locally</t>
  </si>
  <si>
    <t>Finite payload; capsule must survive processing yet rupture on demand</t>
  </si>
  <si>
    <t>NR06</t>
  </si>
  <si>
    <t>Vascular transport / replenishment</t>
  </si>
  <si>
    <t>Vascular network</t>
  </si>
  <si>
    <t>Blood vessels; plant vasculature</t>
  </si>
  <si>
    <t>Use connected channels to deliver, redistribute, and if possible replenish repair resources over distance and through repeated cycles.</t>
  </si>
  <si>
    <t>Pressure / capillarity / pumping / damage</t>
  </si>
  <si>
    <t>Multiple; potentially continuous with reservoir</t>
  </si>
  <si>
    <t>Network damage, blockage, complexity, volume penalty</t>
  </si>
  <si>
    <t>NR07</t>
  </si>
  <si>
    <t>Layer / renew / shed</t>
  </si>
  <si>
    <t>0 Prevent + 5 Remodel</t>
  </si>
  <si>
    <t>Layering + replenishable coating + abscission</t>
  </si>
  <si>
    <t>Snake skin; tree bark; lotus wax; plant abscission</t>
  </si>
  <si>
    <t>Continuously grow or replenish protective material from beneath; when damaged material is expendable, isolate then remove/shed it.</t>
  </si>
  <si>
    <t>Wear / growth / programmed biochemical trigger</t>
  </si>
  <si>
    <t>Continuous / periodic</t>
  </si>
  <si>
    <t>Consumes material/energy; discarded layer may be acceptable only in some systems</t>
  </si>
  <si>
    <t>NR08</t>
  </si>
  <si>
    <t>Dynamic rebond</t>
  </si>
  <si>
    <t>4 Reconstruct</t>
  </si>
  <si>
    <t>Reversible chemical/physical bonding</t>
  </si>
  <si>
    <t>Protein networks; ECM-like hydrogels; mussel-inspired networks</t>
  </si>
  <si>
    <t>Build reversible bonds into the load path so broken interfaces can reorganize and reconnect after damage.</t>
  </si>
  <si>
    <t>Contact; heat; water; pH; light; ions</t>
  </si>
  <si>
    <t>Multiple cycles</t>
  </si>
  <si>
    <t>Strength–mobility trade-off; surfaces often need re-contact</t>
  </si>
  <si>
    <t>NR09</t>
  </si>
  <si>
    <t>Sacrificial dissipation + recovery</t>
  </si>
  <si>
    <t>2 Stabilize + 4 Reconstruct</t>
  </si>
  <si>
    <t>Sacrificial bonds</t>
  </si>
  <si>
    <t>Mussel byssus; bone; nacre; tough tissue</t>
  </si>
  <si>
    <t>Let selected weaker bonds/domains fail first to dissipate energy while preserving the primary skeleton, then reform the sacrificial network.</t>
  </si>
  <si>
    <t>Mechanical load then unloading</t>
  </si>
  <si>
    <t>Multiple</t>
  </si>
  <si>
    <t>Dissipation may leave residual deformation; recovery kinetics matter</t>
  </si>
  <si>
    <t>NR10</t>
  </si>
  <si>
    <t>Hierarchical crack control</t>
  </si>
  <si>
    <t>0 Prevent + 2 Stabilize</t>
  </si>
  <si>
    <t>Hierarchy / crack deflection</t>
  </si>
  <si>
    <t>Tooth enamel; nacre; bone; fibrous tissue</t>
  </si>
  <si>
    <t>Arrange hard/soft phases and interfaces across scales to redistribute stress, deflect/blunt cracks, and preserve local mobility needed for repair.</t>
  </si>
  <si>
    <t>Mechanical damage / stress concentration</t>
  </si>
  <si>
    <t>Structural feature; not depleted</t>
  </si>
  <si>
    <t>Complex fabrication; too much reinforcement can suppress healing mobility</t>
  </si>
  <si>
    <t>NR11</t>
  </si>
  <si>
    <t>Biomineralize / regrow missing material</t>
  </si>
  <si>
    <t>Biomineralization / deposition</t>
  </si>
  <si>
    <t>Bone; shell; bacteria; fungi; algae</t>
  </si>
  <si>
    <t>Generate new solid phase in situ using local ions, metabolism, or crystallization so voids are filled rather than merely glued.</t>
  </si>
  <si>
    <t>Moisture; nutrients; ions; metabolism</t>
  </si>
  <si>
    <t>Multiple while agents/resources remain viable</t>
  </si>
  <si>
    <t>Resource access, environmental window, by-products, penetration depth</t>
  </si>
  <si>
    <t>NR12</t>
  </si>
  <si>
    <t>Living remodeling / regeneration</t>
  </si>
  <si>
    <t>5 Remodel</t>
  </si>
  <si>
    <t>Cellular growth + matrix turnover</t>
  </si>
  <si>
    <t>Skin; bone; tendon; regenerative tissue</t>
  </si>
  <si>
    <t>Continue rebuilding after closure: remove damaged material, replace matrix, reorganize structure, and restore function over longer time scales.</t>
  </si>
  <si>
    <t>Biological activity / load / signaling</t>
  </si>
  <si>
    <t>Continuous while living system remains viable</t>
  </si>
  <si>
    <t>Slow; resource- and control-intensive</t>
  </si>
  <si>
    <t>NR13</t>
  </si>
  <si>
    <t>Dissolve → redistribute → redeploy</t>
  </si>
  <si>
    <t>3 Mobilize + 4 Reconstruct</t>
  </si>
  <si>
    <t>Fibrinolysis / phase-transfer recycling</t>
  </si>
  <si>
    <t>Blood-vessel fibrinolysis analogue; Li–S self-healing electrolyte</t>
  </si>
  <si>
    <t>Convert obstructive or stranded material into a mobile phase, redistribute it, then reincorporate it into the functional cycle.</t>
  </si>
  <si>
    <t>Chemical potential / charge-discharge / solubility</t>
  </si>
  <si>
    <t>Must suppress unwanted transport while enabling controlled remobilization</t>
  </si>
  <si>
    <t>NR14</t>
  </si>
  <si>
    <t>Adaptive reconfiguration</t>
  </si>
  <si>
    <t>Reversible state change / rate-sensitive interactions</t>
  </si>
  <si>
    <t>Muscle; chameleon skin; bound-water networks; sea-cucumber-like adaptive tissue</t>
  </si>
  <si>
    <t>Change bond state, stiffness, transport, or architecture according to load rate or environment, then reverse when conditions normalize.</t>
  </si>
  <si>
    <t>Rate / strain / ions / water / temperature</t>
  </si>
  <si>
    <t>Response window and kinetics must match the disturbance</t>
  </si>
  <si>
    <t>NR15</t>
  </si>
  <si>
    <t>Sense → signal → recruit / repair</t>
  </si>
  <si>
    <t>1 Detect + 5 Verify</t>
  </si>
  <si>
    <t>Cellular signaling / mechanosensing</t>
  </si>
  <si>
    <t>Immune response; dermis; plant recognition; smart hydrogels</t>
  </si>
  <si>
    <t>Couple damage detection to a localized signal that recruits resources, changes chemistry, or reports repair status; measure functional recovery, not only closure.</t>
  </si>
  <si>
    <t>Stress; strain; chemistry; electrical / optical change</t>
  </si>
  <si>
    <t>Multiple if sensing path recovers</t>
  </si>
  <si>
    <t>Signal can recover differently from mechanics; false positives/threshold design</t>
  </si>
  <si>
    <t>NR16</t>
  </si>
  <si>
    <t>Staged / temporal repair</t>
  </si>
  <si>
    <t>2→5 sequence</t>
  </si>
  <si>
    <t>Sequential response / homeostasis</t>
  </si>
  <si>
    <t>Hemostasis→tissue repair; skin wound healing; plant multistage defense</t>
  </si>
  <si>
    <t>Assign different functions to different time scales: immediate stabilization first, then reconstruction, then remodeling/verification.</t>
  </si>
  <si>
    <t>Damage + time + evolving local conditions</t>
  </si>
  <si>
    <t>Multiple if underlying resources renew</t>
  </si>
  <si>
    <t>Coordination complexity; early response can obstruct later regeneration</t>
  </si>
  <si>
    <t>Cross-cutting constraints: what the reasoning engine must check before recommending a repair strategy</t>
  </si>
  <si>
    <t>Dimension</t>
  </si>
  <si>
    <t>Controlled values / examples</t>
  </si>
  <si>
    <t>Why it is first-class</t>
  </si>
  <si>
    <t>Failure if ignored</t>
  </si>
  <si>
    <t>Damage topology</t>
  </si>
  <si>
    <t>surface scratch • interface separation • microcrack • deep crack • distributed fatigue • missing volume</t>
  </si>
  <si>
    <t>Repair access and transport path differ by geometry.</t>
  </si>
  <si>
    <t>A surface can appear closed while the interior remains damaged.</t>
  </si>
  <si>
    <t>Function to restore</t>
  </si>
  <si>
    <t>barrier / watertightness • strength • stiffness • toughness • adhesion • electrical • actuation • biological</t>
  </si>
  <si>
    <t>'Healed' must mean recovery of a named function.</t>
  </si>
  <si>
    <t>Self-sealing can be misreported as structural healing.</t>
  </si>
  <si>
    <t>Resource location</t>
  </si>
  <si>
    <t>intrinsic network • local capsule • distributed network • ambient • external • living/metabolic</t>
  </si>
  <si>
    <t>Determines autonomy and depletion.</t>
  </si>
  <si>
    <t>A one-shot capsule cannot support unlimited recurrence.</t>
  </si>
  <si>
    <t>Resource accessibility</t>
  </si>
  <si>
    <t>open surface • internal crack • vascularly accessible • light-exposed • moisture-exposed</t>
  </si>
  <si>
    <t>Biological agents and triggers need access.</t>
  </si>
  <si>
    <t>Algae may work at exposed surfaces but light is unavailable deep inside bulk concrete.</t>
  </si>
  <si>
    <t>Trigger / activation window</t>
  </si>
  <si>
    <t>damage • water • pH • heat • light/NIR • electrical • ions • strain rate • metabolism</t>
  </si>
  <si>
    <t>A mechanism is only useful if real operating conditions activate it.</t>
  </si>
  <si>
    <t>High-temperature healing chemistry may be impractical in service.</t>
  </si>
  <si>
    <t>Transport / penetration</t>
  </si>
  <si>
    <t>diffusion • capillarity • vascular flow • cell growth • ionic migration • none</t>
  </si>
  <si>
    <t>Controls how far repair reaches into damage.</t>
  </si>
  <si>
    <t>Crack-mouth closure may overestimate deep healing.</t>
  </si>
  <si>
    <t>Temporal profile</t>
  </si>
  <si>
    <t>seconds/minutes • hours • days • weeks • staged</t>
  </si>
  <si>
    <t>Urgent stabilization and full reconstruction often require different mechanisms.</t>
  </si>
  <si>
    <t>Slow healing may allow corrosion or crack growth before repair completes.</t>
  </si>
  <si>
    <t>Repeatability / depletion</t>
  </si>
  <si>
    <t>single-shot • finite multi-cycle • replenishable • continuous</t>
  </si>
  <si>
    <t>Sets lifecycle value.</t>
  </si>
  <si>
    <t>Finite reagents can be exhausted at recurrent damage sites.</t>
  </si>
  <si>
    <t>Scale match</t>
  </si>
  <si>
    <t>molecular • interface • microcrack • macrocrack • component</t>
  </si>
  <si>
    <t>Mechanism must operate at the same scale as failure.</t>
  </si>
  <si>
    <t>Dynamic rebonding cannot bridge a large gap if faces do not reconnect.</t>
  </si>
  <si>
    <t>Trade-off budget</t>
  </si>
  <si>
    <t>strength↔mobility • stiffness↔healing • protection↔transport • speed↔completeness</t>
  </si>
  <si>
    <t>Nature often distributes conflicting functions across scales, layers, or time.</t>
  </si>
  <si>
    <t>Optimizing healing alone can weaken the undamaged material.</t>
  </si>
  <si>
    <t>Evidence status</t>
  </si>
  <si>
    <t>Interpretation</t>
  </si>
  <si>
    <t>*Paper counts are taxonomy-level mappings from the existing 60-paper dataset; attached sources add ontology evidence and constraints and are catalogued separately.</t>
  </si>
  <si>
    <t>Very High / High</t>
  </si>
  <si>
    <t>Peer-reviewed primary or strong directly supported synthesis</t>
  </si>
  <si>
    <t>Medium</t>
  </si>
  <si>
    <t>Review/proceedings or indirect mechanism support</t>
  </si>
  <si>
    <t>Low–Medium</t>
  </si>
  <si>
    <t>Preprint or supporting information; provisional</t>
  </si>
  <si>
    <t>Inference</t>
  </si>
  <si>
    <t>Ontology transfer rule; not a direct biological observation</t>
  </si>
  <si>
    <t>Paper ID</t>
  </si>
  <si>
    <t>Cohort</t>
  </si>
  <si>
    <t>Year</t>
  </si>
  <si>
    <t>Title</t>
  </si>
  <si>
    <t>Journal</t>
  </si>
  <si>
    <t>Biological model</t>
  </si>
  <si>
    <t>Biological challenge</t>
  </si>
  <si>
    <t>Mechanism</t>
  </si>
  <si>
    <t>Abstracted design principle</t>
  </si>
  <si>
    <t>Primary strategy</t>
  </si>
  <si>
    <t>Secondary strategy</t>
  </si>
  <si>
    <t>Healing mode</t>
  </si>
  <si>
    <t>Trigger</t>
  </si>
  <si>
    <t>Engineering implementation</t>
  </si>
  <si>
    <t>Application domain</t>
  </si>
  <si>
    <t>Citation signal</t>
  </si>
  <si>
    <t>Source link (checked at compile)</t>
  </si>
  <si>
    <t>Notes</t>
  </si>
  <si>
    <t>Maturity level</t>
  </si>
  <si>
    <t>Maturity evidence</t>
  </si>
  <si>
    <t>Scale-up blocker</t>
  </si>
  <si>
    <t>◄ Ontology function</t>
  </si>
  <si>
    <t>◄ Ontology strategy</t>
  </si>
  <si>
    <t>◄ Operating principle</t>
  </si>
  <si>
    <t>B01</t>
  </si>
  <si>
    <t>Base set</t>
  </si>
  <si>
    <t>2026</t>
  </si>
  <si>
    <t>Enamel-inspired composite with robust mechanical properties and self-healing capability</t>
  </si>
  <si>
    <t>Nature Communications</t>
  </si>
  <si>
    <t>Tooth enamel</t>
  </si>
  <si>
    <t>Remain stiff/strong while resisting crack propagation and restoring damage</t>
  </si>
  <si>
    <t>Aligned hydroxyapatite nanowires in a reversible borate-bond polymer network</t>
  </si>
  <si>
    <t>Combine hard aligned mineral architecture with a mobile, reversible interphase so strength and healing coexist</t>
  </si>
  <si>
    <t>S7 Hierarchical confinement / crack deflection</t>
  </si>
  <si>
    <t>S5 Dynamic rebonding</t>
  </si>
  <si>
    <t>Intrinsic / stimulus-assisted</t>
  </si>
  <si>
    <t>Heat + water</t>
  </si>
  <si>
    <t>Repeatable</t>
  </si>
  <si>
    <t>PVA/boric-acid/HAP nanowire composite</t>
  </si>
  <si>
    <t>Structural materials; automotive; construction</t>
  </si>
  <si>
    <t>Recent 2026</t>
  </si>
  <si>
    <t>https://www.nature.com/articles/s41467-026-72309-8</t>
  </si>
  <si>
    <t>Validated 2026 paper; reported high healing efficiency and strong mechanical performance.</t>
  </si>
  <si>
    <t>Lab-scale (assumed)</t>
  </si>
  <si>
    <t>[VERIFY — inferred from paper type, not confirmed]</t>
  </si>
  <si>
    <t>[to complete]</t>
  </si>
  <si>
    <t>Strength</t>
  </si>
  <si>
    <t>Layering; crack deflection; load distribution</t>
  </si>
  <si>
    <t>Multi-scale</t>
  </si>
  <si>
    <t>B02</t>
  </si>
  <si>
    <t>Bound water as a kinetic crosslinker for bio-inspired impact-stiffening polymers</t>
  </si>
  <si>
    <t>Water-mediated mechanics in biological materials</t>
  </si>
  <si>
    <t>Stay soft in normal use but stiffen and dissipate energy under rapid loading, then recover</t>
  </si>
  <si>
    <t>Bound water acts as a rate-sensitive kinetic crosslinker controlling intermolecular coupling</t>
  </si>
  <si>
    <t>Use a normally passive component as a load-rate-dependent temporary crosslinker</t>
  </si>
  <si>
    <t>S10 Adaptive remodeling / living repair</t>
  </si>
  <si>
    <t>Intrinsic / adaptive</t>
  </si>
  <si>
    <t>Impact / loading rate</t>
  </si>
  <si>
    <t>Water-mediated dynamic polymer network</t>
  </si>
  <si>
    <t>Impact protection; adaptive structures</t>
  </si>
  <si>
    <t>https://www.nature.com/articles/s41467-026-75737-8</t>
  </si>
  <si>
    <t>Mechanism is especially relevant to adaptive repair and impact response.</t>
  </si>
  <si>
    <t>Adaptation</t>
  </si>
  <si>
    <t>Variation; behavioural flexibility</t>
  </si>
  <si>
    <t>Self-repair</t>
  </si>
  <si>
    <t>B03</t>
  </si>
  <si>
    <t>Bioinspired Time-Gradient Self-Healing Polyurethane/Epoxy Covalent Dynamic Networks Enhanced by GO/ZIF-8@Curcumin for Marine Protection</t>
  </si>
  <si>
    <t>Small</t>
  </si>
  <si>
    <t>Skin wound healing</t>
  </si>
  <si>
    <t>Stabilize damage quickly, then rebuild more fully over time</t>
  </si>
  <si>
    <t>Fast extrinsic response combined with slower intrinsic dynamic-covalent reconstruction</t>
  </si>
  <si>
    <t>Sequence repair mechanisms rather than asking one mechanism to satisfy all time scales</t>
  </si>
  <si>
    <t>S9 Staged / temporal repair</t>
  </si>
  <si>
    <t>Hybrid intrinsic + extrinsic</t>
  </si>
  <si>
    <t>Ambient / time-dependent chemistry</t>
  </si>
  <si>
    <t>PU/epoxy dynamic network + functional nanocontainers</t>
  </si>
  <si>
    <t>Marine anticorrosion coatings</t>
  </si>
  <si>
    <t>https://onlinelibrary.wiley.com/doi/10.1002/smll.74179</t>
  </si>
  <si>
    <t>Strong exemplar of temporal sequencing.</t>
  </si>
  <si>
    <t>Renewal</t>
  </si>
  <si>
    <t>Cyclicity; staged sequence</t>
  </si>
  <si>
    <t>Spirality</t>
  </si>
  <si>
    <t>B04</t>
  </si>
  <si>
    <t>Bioinspired Self-Healing Polyurethane-Based Ionogel for Dual-Modal Strain Sensing and Solvent-Triggered Alerting</t>
  </si>
  <si>
    <t>Advanced Functional Materials</t>
  </si>
  <si>
    <t>Plant cell wall ion migration</t>
  </si>
  <si>
    <t>Maintain integrity while sensing deformation and environmental change</t>
  </si>
  <si>
    <t>Swelling-enhanced ion migration coupled to dynamic polyurethane bonding</t>
  </si>
  <si>
    <t>Couple repair with reversible ion transport so the same material can heal and sense</t>
  </si>
  <si>
    <t>S8 Sense → signal → repair</t>
  </si>
  <si>
    <t>Intrinsic / multifunctional</t>
  </si>
  <si>
    <t>Strain + solvent/environment</t>
  </si>
  <si>
    <t>Polyurethane ionogel</t>
  </si>
  <si>
    <t>Wearables; strain sensing; chemical alerts</t>
  </si>
  <si>
    <t>https://advanced.onlinelibrary.wiley.com/doi/10.1002/adfm.76566</t>
  </si>
  <si>
    <t>Explicitly plant-inspired.</t>
  </si>
  <si>
    <t>Communication &amp; feedback</t>
  </si>
  <si>
    <t>Closed feedback loop; damage signalling</t>
  </si>
  <si>
    <t>Locality</t>
  </si>
  <si>
    <t>B05</t>
  </si>
  <si>
    <t>Skin-Inspired Design of Self-Healing Coatings Integrating Interface-Liquid Repellency and Corrosion Resistance</t>
  </si>
  <si>
    <t>Advanced Science</t>
  </si>
  <si>
    <t>Multilayer human skin</t>
  </si>
  <si>
    <t>Combine barrier protection, interface control, and healing without one function degrading another</t>
  </si>
  <si>
    <t>Layered/graded architecture with self-healing and liquid-repellent interfaces</t>
  </si>
  <si>
    <t>Spatially separate conflicting functions across layers and reconnect them after damage</t>
  </si>
  <si>
    <t>S1 Rapid seal / adhesion</t>
  </si>
  <si>
    <t>Intrinsic / layered</t>
  </si>
  <si>
    <t>Aqueous exposure + dynamic bonding</t>
  </si>
  <si>
    <t>Multilayer protective coating</t>
  </si>
  <si>
    <t>Corrosion protection</t>
  </si>
  <si>
    <t>https://advanced.onlinelibrary.wiley.com/doi/10.1002/advs.202521067</t>
  </si>
  <si>
    <t>Validated 2026 paper.</t>
  </si>
  <si>
    <t>Protective envelope</t>
  </si>
  <si>
    <t>Selectively permeable boundary; surface sealing</t>
  </si>
  <si>
    <t>B06</t>
  </si>
  <si>
    <t>Dermis-Inspired Multimodal and Reversible Damaging-Healing Monitoring Coating via Dynamic Bonding Synchronous Activation Strategy</t>
  </si>
  <si>
    <t>Dermis / tissue damage signaling</t>
  </si>
  <si>
    <t>Detect accumulating damage and track healing progress while preserving protection</t>
  </si>
  <si>
    <t>Dynamic-bond reconstruction is coupled with a reversible optical signaling pathway</t>
  </si>
  <si>
    <t>Make damage and healing state observable in real time, not just mechanically repairable</t>
  </si>
  <si>
    <t>Intrinsic / self-reporting</t>
  </si>
  <si>
    <t>Mechanical damage + bond reconstruction</t>
  </si>
  <si>
    <t>Smart protective coating</t>
  </si>
  <si>
    <t>Marine and structural coatings</t>
  </si>
  <si>
    <t>https://advanced.onlinelibrary.wiley.com/doi/10.1002/adfm.75334</t>
  </si>
  <si>
    <t>B07</t>
  </si>
  <si>
    <t>Bioinspired super-tough polyurethane elastomers with block modules using sacrificial bonds</t>
  </si>
  <si>
    <t>RSC Advances</t>
  </si>
  <si>
    <t>Tough biological tissues / mussel byssus</t>
  </si>
  <si>
    <t>Absorb large deformation without catastrophic failure and recover reversible interactions</t>
  </si>
  <si>
    <t>Hierarchical sacrificial H-bonds and metal coordination in modular polyurethane</t>
  </si>
  <si>
    <t>Use multiple bond strengths so weaker bonds dissipate energy while stronger structure remains</t>
  </si>
  <si>
    <t>S6 Sacrificial-bond recovery</t>
  </si>
  <si>
    <t>Intrinsic</t>
  </si>
  <si>
    <t>Mechanical unloading / reversible bonding</t>
  </si>
  <si>
    <t>Polyurethane elastomer</t>
  </si>
  <si>
    <t>E-skin; flexible devices; robotics</t>
  </si>
  <si>
    <t>https://pubs.rsc.org/en/content/articlelanding/2026/ra/d5ra08303f</t>
  </si>
  <si>
    <t>Explicitly bioinspired.</t>
  </si>
  <si>
    <t>Energy absorption; sacrificial bonds</t>
  </si>
  <si>
    <t>Gradient</t>
  </si>
  <si>
    <t>B08</t>
  </si>
  <si>
    <t>Bioinspired Design of Strong, Tough, and Room-Temperature Healable Silicone Elastomers by Dynamic Nanoconfinement</t>
  </si>
  <si>
    <t>Macromolecules</t>
  </si>
  <si>
    <t>Hierarchical protein materials / spider-silk-like organization</t>
  </si>
  <si>
    <t>Combine high strength with chain mobility sufficient for room-temperature repair</t>
  </si>
  <si>
    <t>Dynamic nanoconfinement localizes strong interactions while leaving mobile healing domains</t>
  </si>
  <si>
    <t>Confine strong bonds spatially rather than making the whole network rigid</t>
  </si>
  <si>
    <t>Room temperature contact</t>
  </si>
  <si>
    <t>Silicone elastomer</t>
  </si>
  <si>
    <t>Wearables; sensors; recyclable circuits</t>
  </si>
  <si>
    <t>https://pubs.acs.org/doi/10.1021/acs.macromol.6c00733</t>
  </si>
  <si>
    <t>B09</t>
  </si>
  <si>
    <t>Bio-Inspired Carbon Fiber/Epoxy Composites With Interfacial Self-Healing Ability Triggered by Electricity</t>
  </si>
  <si>
    <t>Polymer Composites</t>
  </si>
  <si>
    <t>Localized biological repair at damage-prone interfaces</t>
  </si>
  <si>
    <t>Restore damage preferentially where debonding occurs</t>
  </si>
  <si>
    <t>Electrically triggered interfacial healing chemistry concentrated at fiber/matrix interfaces</t>
  </si>
  <si>
    <t>Place repair capacity at known failure planes rather than distributing it uniformly</t>
  </si>
  <si>
    <t>Stimulus-assisted</t>
  </si>
  <si>
    <t>Electrical</t>
  </si>
  <si>
    <t>Repeated cycles</t>
  </si>
  <si>
    <t>Carbon-fiber/epoxy interface</t>
  </si>
  <si>
    <t>Aerospace; automotive composites</t>
  </si>
  <si>
    <t>https://4spepublications.onlinelibrary.wiley.com/doi/10.1002/pc.70926</t>
  </si>
  <si>
    <t>Interface-localized repair exemplar.</t>
  </si>
  <si>
    <t>Sacrificial bonds; re-bonding</t>
  </si>
  <si>
    <t>B10</t>
  </si>
  <si>
    <t>Bioinspired “self-healing vaccine” for cementitious materials: Physicochemical synergistic healing mechanisms among multiple cracks</t>
  </si>
  <si>
    <t>Cement and Concrete Research</t>
  </si>
  <si>
    <t>Vaccination / externally enabled biological response</t>
  </si>
  <si>
    <t>Enable existing infrastructure to respond repeatedly to future cracks</t>
  </si>
  <si>
    <t>External repair treatment supplies reactive resources that migrate/react in damaged cementitious zones</t>
  </si>
  <si>
    <t>Retrofit a repair capability into an existing system rather than requiring healing to be designed in from manufacture</t>
  </si>
  <si>
    <t>S4 Biomineralize / regrow</t>
  </si>
  <si>
    <t>S3 Vascular transport</t>
  </si>
  <si>
    <t>Extrinsic / externally supplied</t>
  </si>
  <si>
    <t>Moisture + treatment chemistry</t>
  </si>
  <si>
    <t>Potentially repeated</t>
  </si>
  <si>
    <t>Cementitious repair system</t>
  </si>
  <si>
    <t>Existing concrete infrastructure</t>
  </si>
  <si>
    <t>https://www.sciencedirect.com/science/article/abs/pii/S0008884626001304</t>
  </si>
  <si>
    <t>Useful retrofit principle.</t>
  </si>
  <si>
    <t>Regrowth; material cycling</t>
  </si>
  <si>
    <t>Self-creation</t>
  </si>
  <si>
    <t>B11</t>
  </si>
  <si>
    <t>A strong, healable, recyclable bio-based adhesive via a bone-inspired triple network</t>
  </si>
  <si>
    <t>Journal of Materials Chemistry A</t>
  </si>
  <si>
    <t>Bone</t>
  </si>
  <si>
    <t>Combine stiffness, toughness, repair, and recyclability in one structural adhesive</t>
  </si>
  <si>
    <t>Triple-network hierarchy with reversible energy-dissipating interactions</t>
  </si>
  <si>
    <t>Assign different roles to nested networks: load bearing, dissipation, and repair</t>
  </si>
  <si>
    <t>Intrinsic / thermally assisted</t>
  </si>
  <si>
    <t>Dynamic interactions</t>
  </si>
  <si>
    <t>Bio-based structural adhesive</t>
  </si>
  <si>
    <t>Structural bonding</t>
  </si>
  <si>
    <t>https://pubs.rsc.org/en/content/articlelanding/2026/ta/d6ta01962e</t>
  </si>
  <si>
    <t>Bone-inspired hierarchy.</t>
  </si>
  <si>
    <t>B12</t>
  </si>
  <si>
    <t>A bioinspired hydrogel with balanced adhesion and compliance for reversible underwater adhesion</t>
  </si>
  <si>
    <t>Materials Chemistry Frontiers</t>
  </si>
  <si>
    <t>Biological underwater adhesion</t>
  </si>
  <si>
    <t>Attach securely in wet environments while remaining compliant and detachable/reusable</t>
  </si>
  <si>
    <t>Soft compliant hydrogel with dynamic interfacial bonding</t>
  </si>
  <si>
    <t>Optimize adhesion as a system balance between conformability and reversible chemistry</t>
  </si>
  <si>
    <t>Intrinsic / reversible</t>
  </si>
  <si>
    <t>Water + contact</t>
  </si>
  <si>
    <t>Adhesive hydrogel</t>
  </si>
  <si>
    <t>Underwater robotics; biomedical interfaces</t>
  </si>
  <si>
    <t>https://pubs.rsc.org/en/content/articlelanding/2026/qm/d6qm00279j</t>
  </si>
  <si>
    <t>Underwater reversible adhesion.</t>
  </si>
  <si>
    <t>B13</t>
  </si>
  <si>
    <t>Self-healing behavior of silica–silk fibroin composite films with leaf surface microstructure</t>
  </si>
  <si>
    <t>Discover Materials</t>
  </si>
  <si>
    <t>Silk protein + leaf surface microstructure</t>
  </si>
  <si>
    <t>Repair while maintaining useful surface structure</t>
  </si>
  <si>
    <t>Reversible protein interactions combined with biomimetic leaf-surface topology</t>
  </si>
  <si>
    <t>Engineer repair at both molecular and surface-geometry scales</t>
  </si>
  <si>
    <t>Intrinsic / moisture-assisted</t>
  </si>
  <si>
    <t>Water / molecular mobility</t>
  </si>
  <si>
    <t>Silica–silk fibroin film</t>
  </si>
  <si>
    <t>Wearables; flexible materials</t>
  </si>
  <si>
    <t>https://link.springer.com/article/10.1007/s43939-026-00538-1</t>
  </si>
  <si>
    <t>Combines molecular and morphological biomimicry.</t>
  </si>
  <si>
    <t>B14</t>
  </si>
  <si>
    <t>Biomimetic, self-healing occlusive hydrogel membranes for effective guided bone regeneration</t>
  </si>
  <si>
    <t>Journal of Advanced Research</t>
  </si>
  <si>
    <t>Regenerative extracellular environment / tissue barrier</t>
  </si>
  <si>
    <t>Maintain a selective barrier while repairing local damage and supporting regeneration</t>
  </si>
  <si>
    <t>Dynamic hydrogel network with tissue-compatible mechanics and regenerative function</t>
  </si>
  <si>
    <t>Pair self-repair with the functional role the damaged barrier must continue performing</t>
  </si>
  <si>
    <t>Intrinsic / biological</t>
  </si>
  <si>
    <t>Physiological environment</t>
  </si>
  <si>
    <t>Occlusive hydrogel membrane</t>
  </si>
  <si>
    <t>Bone regeneration</t>
  </si>
  <si>
    <t>https://www.sciencedirect.com/science/article/pii/S2090123226005849</t>
  </si>
  <si>
    <t>Biomedical regenerative self-healing.</t>
  </si>
  <si>
    <t>B15</t>
  </si>
  <si>
    <t>Bioinspired Self-Healing Vitrimer from Epoxidised Palm Oil Reinforced with Nanofibrillated Cellulose and Activated Carbon</t>
  </si>
  <si>
    <t>BioResources</t>
  </si>
  <si>
    <t>Bio-derived fibrous composite architecture</t>
  </si>
  <si>
    <t>Retain reinforcement while allowing the matrix to reconfigure and repair</t>
  </si>
  <si>
    <t>Static cellulose reinforcement embedded in a dynamic covalent vitrimer network</t>
  </si>
  <si>
    <t>Separate structural reinforcement from the mobile/reversible phase responsible for repair</t>
  </si>
  <si>
    <t>Intrinsic / thermal</t>
  </si>
  <si>
    <t>Heat / bond exchange</t>
  </si>
  <si>
    <t>Bio-based vitrimer composite</t>
  </si>
  <si>
    <t>Sustainable structural composites</t>
  </si>
  <si>
    <t>https://ojs.bioresources.com/index.php/BRJ/article/view/25395</t>
  </si>
  <si>
    <t>Bio-based and reprocessable.</t>
  </si>
  <si>
    <t>B16</t>
  </si>
  <si>
    <t>Cellulose-based liquid crystal elastomer with tunable mechanochromic response</t>
  </si>
  <si>
    <t>Cellulose-based biological materials / skin-like signaling</t>
  </si>
  <si>
    <t>Recover mechanical integrity while visibly reporting deformation</t>
  </si>
  <si>
    <t>Reversible H-bonding and ordered liquid-crystal structure couple healing with mechanochromism</t>
  </si>
  <si>
    <t>Integrate self-reporting into the repairable structure so damage state is observable</t>
  </si>
  <si>
    <t>Ionic environment / humidity / contact</t>
  </si>
  <si>
    <t>Cellulose-based liquid-crystal elastomer</t>
  </si>
  <si>
    <t>Smart wearables; visual strain sensing</t>
  </si>
  <si>
    <t>https://www.nature.com/articles/s41467-026-72725-w</t>
  </si>
  <si>
    <t>Self-reporting repair concept.</t>
  </si>
  <si>
    <t>B17</t>
  </si>
  <si>
    <t>2020</t>
  </si>
  <si>
    <t>Bioinspired Self-Healing of Kinetically Inert Hydrogels</t>
  </si>
  <si>
    <t>ACS Applied Materials &amp; Interfaces</t>
  </si>
  <si>
    <t>Soft biological tissues</t>
  </si>
  <si>
    <t>Repair networks that are otherwise too kinetically trapped to reconnect efficiently</t>
  </si>
  <si>
    <t>A bioinspired strategy mobilizes/reorganizes network interactions to restore damaged hydrogel</t>
  </si>
  <si>
    <t>Introduce a repair pathway that temporarily overcomes kinetic barriers without permanently softening the structure</t>
  </si>
  <si>
    <t>Intrinsic / assisted</t>
  </si>
  <si>
    <t>Chemical/environmental conditions</t>
  </si>
  <si>
    <t>Hydrogel network</t>
  </si>
  <si>
    <t>Soft materials; biomedical systems</t>
  </si>
  <si>
    <t>Established paper</t>
  </si>
  <si>
    <t>https://pubs.acs.org/doi/10.1021/acsami.9b20445</t>
  </si>
  <si>
    <t>Correction: this paper is 2020, not 2026.</t>
  </si>
  <si>
    <t>B18</t>
  </si>
  <si>
    <t>A Rapidly Self-Healing Composite Hydrogel with Exceptional Impact Resistance</t>
  </si>
  <si>
    <t>Tough soft biological tissues</t>
  </si>
  <si>
    <t>Survive impact, dissipate energy, and rapidly reconnect after damage</t>
  </si>
  <si>
    <t>Hierarchical noncovalent interactions provide both energy dissipation and rapid rebonding</t>
  </si>
  <si>
    <t>Use many reversible interactions across scales so impact tolerance and fast healing reinforce each other</t>
  </si>
  <si>
    <t>Ambient contact</t>
  </si>
  <si>
    <t>Composite hydrogel</t>
  </si>
  <si>
    <t>Protective soft structures; wearables</t>
  </si>
  <si>
    <t>https://pubs.acs.org/doi/10.1021/acsami.6c05429</t>
  </si>
  <si>
    <t>Fast-healing impact-resistant hydrogel.</t>
  </si>
  <si>
    <t>B19</t>
  </si>
  <si>
    <t>A self healable dielectric elastomer artificial muscle</t>
  </si>
  <si>
    <t>Natural muscle</t>
  </si>
  <si>
    <t>Actuate repeatedly while recovering mechanical/electrical function after damage</t>
  </si>
  <si>
    <t>Reversible ionic/electrostatic interactions in a bimodal elastomer network</t>
  </si>
  <si>
    <t>Combine actuation and repair in the same compliant network rather than treating healing as an add-on</t>
  </si>
  <si>
    <t>Intrinsic / thermal-assisted</t>
  </si>
  <si>
    <t>Heat / molecular reassociation</t>
  </si>
  <si>
    <t>Dielectric elastomer actuator</t>
  </si>
  <si>
    <t>Soft robotics; artificial muscle</t>
  </si>
  <si>
    <t>https://www.nature.com/articles/s41467-026-72611-5</t>
  </si>
  <si>
    <t>Function restoration, not only crack closure.</t>
  </si>
  <si>
    <t>B20</t>
  </si>
  <si>
    <t>Bionic Janus hydrogel drives infected Achilles tendon regeneration via mechano-immune spatiotemporal steering</t>
  </si>
  <si>
    <t>Tendon / spatially differentiated living tissue</t>
  </si>
  <si>
    <t>Repair in a mechanically and biologically heterogeneous environment</t>
  </si>
  <si>
    <t>Janus spatial differentiation combines mechanical support, adhesion, self-healing, and regenerative cues</t>
  </si>
  <si>
    <t>Use spatially distinct zones for distinct repair tasks, coordinated over time</t>
  </si>
  <si>
    <t>Intrinsic + biological</t>
  </si>
  <si>
    <t>Repeatable / regenerative</t>
  </si>
  <si>
    <t>Janus regenerative hydrogel</t>
  </si>
  <si>
    <t>Tendon regeneration</t>
  </si>
  <si>
    <t>https://www.nature.com/articles/s41467-026-68514-0</t>
  </si>
  <si>
    <t>Spatial + temporal differentiation.</t>
  </si>
  <si>
    <t>A01</t>
  </si>
  <si>
    <t>Added canonical</t>
  </si>
  <si>
    <t>2001</t>
  </si>
  <si>
    <t>Autonomic healing of polymer composites</t>
  </si>
  <si>
    <t>Nature</t>
  </si>
  <si>
    <t>Living systems / biological self-repair</t>
  </si>
  <si>
    <t>Repair damage autonomously without external inspection or manual intervention</t>
  </si>
  <si>
    <t>Crack rupture breaks microcapsules containing healing monomer; released monomer contacts catalyst and polymerizes in the crack</t>
  </si>
  <si>
    <t>Damage itself should trigger release of a pre-positioned repair resource</t>
  </si>
  <si>
    <t>S2 Reservoir release</t>
  </si>
  <si>
    <t>Extrinsic / autonomous</t>
  </si>
  <si>
    <t>Crack rupture</t>
  </si>
  <si>
    <t>Single event per capsule location</t>
  </si>
  <si>
    <t>Microencapsulated DCPD + catalyst in epoxy</t>
  </si>
  <si>
    <t>Structural polymers and composites</t>
  </si>
  <si>
    <t>&gt;6,000 citations surfaced</t>
  </si>
  <si>
    <t>https://www.nature.com/articles/35057232</t>
  </si>
  <si>
    <t>Foundational self-healing materials paper.</t>
  </si>
  <si>
    <t>Energy harvesting &amp; use</t>
  </si>
  <si>
    <t>Storage and timed release</t>
  </si>
  <si>
    <t>A02</t>
  </si>
  <si>
    <t>2007</t>
  </si>
  <si>
    <t>Self-healing materials with microvascular networks</t>
  </si>
  <si>
    <t>Nature Materials</t>
  </si>
  <si>
    <t>Blood vessels / plant vasculature</t>
  </si>
  <si>
    <t>Repair repeated damage and larger damage volumes by replenishing repair resources</t>
  </si>
  <si>
    <t>3D microvascular network repeatedly delivers liquid healing chemistry to cracks</t>
  </si>
  <si>
    <t>Replace finite local reservoirs with connected, refillable transport networks</t>
  </si>
  <si>
    <t>Crack damage + capillary/pressure flow</t>
  </si>
  <si>
    <t>3D microvascular epoxy coating/substrate</t>
  </si>
  <si>
    <t>Repeated repair in polymers and coatings</t>
  </si>
  <si>
    <t>&gt;2,000 citations surfaced</t>
  </si>
  <si>
    <t>https://www.nature.com/articles/nmat1934</t>
  </si>
  <si>
    <t>Canonical biomimetic vascular healing.</t>
  </si>
  <si>
    <t>Resistance reduction</t>
  </si>
  <si>
    <t>Flow optimization; branching network</t>
  </si>
  <si>
    <t>A03</t>
  </si>
  <si>
    <t>2009</t>
  </si>
  <si>
    <t>Self-Healing Materials with Interpenetrating Microvascular Networks</t>
  </si>
  <si>
    <t>Advanced Materials</t>
  </si>
  <si>
    <t>Interpenetrating vascular systems</t>
  </si>
  <si>
    <t>Deliver two reactive components independently while preserving repeatability</t>
  </si>
  <si>
    <t>Two separate interpenetrating microvascular networks carry complementary epoxy components</t>
  </si>
  <si>
    <t>Separate incompatible repair resources in parallel networks until damage brings them together</t>
  </si>
  <si>
    <t>Damage + flow</t>
  </si>
  <si>
    <t>30+ reported cycles in coating architecture</t>
  </si>
  <si>
    <t>Dual 3D vascular networks in epoxy</t>
  </si>
  <si>
    <t>Repeated polymer/coating repair</t>
  </si>
  <si>
    <t>&gt;500 citations surfaced</t>
  </si>
  <si>
    <t>https://advanced.onlinelibrary.wiley.com/doi/10.1002/adma.200900588</t>
  </si>
  <si>
    <t>Strong network-architecture precedent.</t>
  </si>
  <si>
    <t>A04</t>
  </si>
  <si>
    <t>2011</t>
  </si>
  <si>
    <t>Accelerated Self-Healing Via Ternary Interpenetrating Microvascular Networks</t>
  </si>
  <si>
    <t>Vascular transport + biological thermal regulation analogy</t>
  </si>
  <si>
    <t>Speed up healing without sacrificing repeated delivery</t>
  </si>
  <si>
    <t>A third vascular network carries temperature-controlled fluid to locally accelerate reaction kinetics</t>
  </si>
  <si>
    <t>Use one transport network not for repair material but for regulating the local healing environment</t>
  </si>
  <si>
    <t>Extrinsic / actively regulated</t>
  </si>
  <si>
    <t>Damage + local heating</t>
  </si>
  <si>
    <t>Three interpenetrating microvascular networks</t>
  </si>
  <si>
    <t>Fast repeatable repair</t>
  </si>
  <si>
    <t>Established / highly cited</t>
  </si>
  <si>
    <t>https://advanced.onlinelibrary.wiley.com/doi/10.1002/adfm.201101553</t>
  </si>
  <si>
    <t>Adds local process control to vascular repair.</t>
  </si>
  <si>
    <t>A05</t>
  </si>
  <si>
    <t>A self-healing carbon fibre reinforced polymer for aerospace applications</t>
  </si>
  <si>
    <t>Composites Part A</t>
  </si>
  <si>
    <t>Biological self-repair / vascular delivery</t>
  </si>
  <si>
    <t>Repair impact/delamination damage in load-bearing fiber composites</t>
  </si>
  <si>
    <t>Hollow fibers store and release healing chemistry into damaged composite regions</t>
  </si>
  <si>
    <t>Embed repair conduits directly into reinforcement architecture</t>
  </si>
  <si>
    <t>Extrinsic</t>
  </si>
  <si>
    <t>Crack-induced release</t>
  </si>
  <si>
    <t>Limited by local healant supply</t>
  </si>
  <si>
    <t>Hollow-fiber CFRP composite</t>
  </si>
  <si>
    <t>Aerospace composites</t>
  </si>
  <si>
    <t>https://www.sciencedirect.com/science/article/pii/S1359835X07000152</t>
  </si>
  <si>
    <t>Early aerospace demonstration.</t>
  </si>
  <si>
    <t>A06</t>
  </si>
  <si>
    <t>Interactions between propagating cracks and bioinspired self-healing vascules embedded in glass fibre reinforced composites</t>
  </si>
  <si>
    <t>Composites Science and Technology</t>
  </si>
  <si>
    <t>Bioinspired vasculature</t>
  </si>
  <si>
    <t>Ensure cracks intersect healing channels without excessively weakening the host structure</t>
  </si>
  <si>
    <t>Study of crack-vessel interactions and vasculature placement inside GFRP</t>
  </si>
  <si>
    <t>Design the geometry of transport networks around likely crack paths</t>
  </si>
  <si>
    <t>Mechanical fracture</t>
  </si>
  <si>
    <t>Repeatable if replenished</t>
  </si>
  <si>
    <t>Embedded vascules in GFRP</t>
  </si>
  <si>
    <t>Structural composites</t>
  </si>
  <si>
    <t>~150 citations surfaced</t>
  </si>
  <si>
    <t>https://www.sciencedirect.com/science/article/abs/pii/S0266353811000558</t>
  </si>
  <si>
    <t>Design-for-intersection principle.</t>
  </si>
  <si>
    <t>A07</t>
  </si>
  <si>
    <t>The role of embedded bioinspired vasculature on damage formation in self-healing carbon fibre reinforced composites</t>
  </si>
  <si>
    <t>Add repair channels without creating unacceptable new damage modes</t>
  </si>
  <si>
    <t>Quantifies how embedded vascular features influence damage formation in CFRP</t>
  </si>
  <si>
    <t>Repair architecture must be co-designed with host damage mechanics</t>
  </si>
  <si>
    <t>Mechanical damage</t>
  </si>
  <si>
    <t>Embedded vasculature in CFRP</t>
  </si>
  <si>
    <t>Aerospace/structural composites</t>
  </si>
  <si>
    <t>~140 citations surfaced</t>
  </si>
  <si>
    <t>https://www.sciencedirect.com/science/article/pii/S1359835X11000479</t>
  </si>
  <si>
    <t>Important systems-level constraint paper.</t>
  </si>
  <si>
    <t>A08</t>
  </si>
  <si>
    <t>2022</t>
  </si>
  <si>
    <t>Prolonged in situ self-healing in structural composites via thermo-reversible entanglement</t>
  </si>
  <si>
    <t>Biological self-repair as repeated in-service restoration</t>
  </si>
  <si>
    <t>Repair repeatedly while the structure stays mechanically functional</t>
  </si>
  <si>
    <t>Patterned EMAA microdomains melt locally and re-entangle below the thermoset matrix Tg; embedded resistive heaters provide local energy</t>
  </si>
  <si>
    <t>Localize a mobile repair phase at the failure interface and activate it without softening the whole structure</t>
  </si>
  <si>
    <t>Electrical resistive heating</t>
  </si>
  <si>
    <t>20 demonstrated cycles</t>
  </si>
  <si>
    <t>EMAA microdomains in GFRP/CFRP</t>
  </si>
  <si>
    <t>In-service structural composite repair</t>
  </si>
  <si>
    <t>~60 citations surfaced</t>
  </si>
  <si>
    <t>https://www.nature.com/articles/s41467-022-33936-z</t>
  </si>
  <si>
    <t>Repeated interface healing while preserving host stiffness.</t>
  </si>
  <si>
    <t>A09</t>
  </si>
  <si>
    <t>2010</t>
  </si>
  <si>
    <t>Application of bacteria as self-healing agent for the development of sustainable concrete</t>
  </si>
  <si>
    <t>Ecological Engineering</t>
  </si>
  <si>
    <t>Microbial biomineralization</t>
  </si>
  <si>
    <t>Seal cracks autonomously inside a harsh, mineral environment</t>
  </si>
  <si>
    <t>Alkaliphilic spore-forming bacteria precipitate mineral products after crack/moisture activation</t>
  </si>
  <si>
    <t>Embed dormant living agents that activate only when damage creates the right environment</t>
  </si>
  <si>
    <t>Living / autonomous</t>
  </si>
  <si>
    <t>Moisture + bacterial metabolism</t>
  </si>
  <si>
    <t>Potentially repeated while viable</t>
  </si>
  <si>
    <t>Bacteria-containing cementitious material</t>
  </si>
  <si>
    <t>Concrete infrastructure</t>
  </si>
  <si>
    <t>https://www.sciencedirect.com/science/article/pii/S0925857409000202</t>
  </si>
  <si>
    <t>Foundational bacteria-based concrete paper.</t>
  </si>
  <si>
    <t>A10</t>
  </si>
  <si>
    <t>Quantification of crack-healing in novel bacteria-based self-healing concrete</t>
  </si>
  <si>
    <t>Cement and Concrete Composites</t>
  </si>
  <si>
    <t>Close measurable cracks and reduce permeability using a biological repair agent</t>
  </si>
  <si>
    <t>Bacteria-based biochemical healing system forms mineral products in cracks</t>
  </si>
  <si>
    <t>Quantify repair by crack closure and transport/barrier recovery, not appearance alone</t>
  </si>
  <si>
    <t>Moisture + nutrients</t>
  </si>
  <si>
    <t>Repeatable subject to agent viability</t>
  </si>
  <si>
    <t>Bacteria-based self-healing concrete</t>
  </si>
  <si>
    <t>Civil infrastructure</t>
  </si>
  <si>
    <t>&gt;1,500 citations surfaced</t>
  </si>
  <si>
    <t>https://www.sciencedirect.com/science/article/abs/pii/S0958946511000618</t>
  </si>
  <si>
    <t>Landmark quantitative study.</t>
  </si>
  <si>
    <t>A11</t>
  </si>
  <si>
    <t>2013</t>
  </si>
  <si>
    <t>Biogenic treatment improves the durability and remediates the cracks of concrete structures</t>
  </si>
  <si>
    <t>Construction and Building Materials</t>
  </si>
  <si>
    <t>Microbial mineral formation</t>
  </si>
  <si>
    <t>Repair deep cracks and improve concrete durability</t>
  </si>
  <si>
    <t>Bacterial mineral precipitation fills cracks and densifies the cementitious matrix</t>
  </si>
  <si>
    <t>Use biologically generated mineral as both filler and barrier-restoration phase</t>
  </si>
  <si>
    <t>Living / applied treatment</t>
  </si>
  <si>
    <t>Moisture + microbial metabolism</t>
  </si>
  <si>
    <t>Potentially repeatable</t>
  </si>
  <si>
    <t>Biogenic concrete treatment</t>
  </si>
  <si>
    <t>Concrete remediation</t>
  </si>
  <si>
    <t>https://www.sciencedirect.com/science/article/abs/pii/S0950061813005795</t>
  </si>
  <si>
    <t>Strong biomineralization precedent.</t>
  </si>
  <si>
    <t>A12</t>
  </si>
  <si>
    <t>2015</t>
  </si>
  <si>
    <t>Field performance of bacteria-based repair system</t>
  </si>
  <si>
    <t>Case Studies in Construction Materials</t>
  </si>
  <si>
    <t>Translate biological crack repair from lab coupons to real structures</t>
  </si>
  <si>
    <t>Liquid bacteria-based repair system precipitates mineral seal in field cracks</t>
  </si>
  <si>
    <t>Validate self-healing as a field process, including delivery and environmental variability</t>
  </si>
  <si>
    <t>Field moisture + treatment</t>
  </si>
  <si>
    <t>Repeated treatment possible</t>
  </si>
  <si>
    <t>Bacteria-based repair liquid</t>
  </si>
  <si>
    <t>Existing concrete structures</t>
  </si>
  <si>
    <t>https://www.sciencedirect.com/science/article/pii/S2214509514000333</t>
  </si>
  <si>
    <t>Field validation is important for solution maturity.</t>
  </si>
  <si>
    <t>A13</t>
  </si>
  <si>
    <t>2019</t>
  </si>
  <si>
    <t>Bacterial self-healing of concrete and durability assessment</t>
  </si>
  <si>
    <t>Restore durability properties after cracking, not just visually close the crack</t>
  </si>
  <si>
    <t>Bacterial CaCO3 precipitation seals cracks and improves transport resistance</t>
  </si>
  <si>
    <t>Evaluate recovery of function (durability) as the healing endpoint</t>
  </si>
  <si>
    <t>Moisture + metabolism</t>
  </si>
  <si>
    <t>Bacteria-based concrete</t>
  </si>
  <si>
    <t>~290 citations surfaced</t>
  </si>
  <si>
    <t>https://www.sciencedirect.com/science/article/abs/pii/S0958946519302781</t>
  </si>
  <si>
    <t>Functional recovery emphasis.</t>
  </si>
  <si>
    <t>A14</t>
  </si>
  <si>
    <t>Self-Healing Mussel-Inspired Multi-pH-Responsive Hydrogels</t>
  </si>
  <si>
    <t>Biomacromolecules</t>
  </si>
  <si>
    <t>Blue mussel adhesive proteins</t>
  </si>
  <si>
    <t>Reconnect in wet environments and tune stiffness/repair with local chemistry</t>
  </si>
  <si>
    <t>DOPA-functional polymer crosslinked by pH-dependent Fe-catechol coordination</t>
  </si>
  <si>
    <t>Use reversible metal-ligand coordination as a wet-compatible self-healing bond</t>
  </si>
  <si>
    <t>pH + Fe coordination</t>
  </si>
  <si>
    <t>DOPA/Fe hydrogel</t>
  </si>
  <si>
    <t>Wet adhesives; soft materials</t>
  </si>
  <si>
    <t>~500 citations surfaced</t>
  </si>
  <si>
    <t>https://pubs.acs.org/doi/10.1021/bm301844u</t>
  </si>
  <si>
    <t>Canonical mussel-inspired self-healing hydrogel.</t>
  </si>
  <si>
    <t>A15</t>
  </si>
  <si>
    <t>Added mechanism anchor</t>
  </si>
  <si>
    <t>pH-induced metal-ligand cross-links inspired by mussel yield self-healing polymer networks with near-covalent elastic moduli</t>
  </si>
  <si>
    <t>PNAS</t>
  </si>
  <si>
    <t>Mussel byssal cuticle</t>
  </si>
  <si>
    <t>Achieve high modulus with reversible bonds that can still reorganize</t>
  </si>
  <si>
    <t>Fe3+-catechol bis/tris coordination produces strong yet dynamic crosslinks</t>
  </si>
  <si>
    <t>Choose reversible bonds with high equilibrium strength but exchangeable coordination states</t>
  </si>
  <si>
    <t>pH + metal coordination</t>
  </si>
  <si>
    <t>Catechol-functional polymer network</t>
  </si>
  <si>
    <t>General self-healing polymer design</t>
  </si>
  <si>
    <t>&gt;1,800 citations surfaced</t>
  </si>
  <si>
    <t>https://www.pnas.org/doi/10.1073/pnas.1015862108</t>
  </si>
  <si>
    <t>Core molecular mechanism anchor.</t>
  </si>
  <si>
    <t>N/A — biological mechanism</t>
  </si>
  <si>
    <t>Nature, not an engineered system</t>
  </si>
  <si>
    <t>—</t>
  </si>
  <si>
    <t>A16</t>
  </si>
  <si>
    <t>2017</t>
  </si>
  <si>
    <t>Mussel-Inspired Adhesive and Tough Hydrogel Based on Nanoclay Confined Dopamine Polymerization</t>
  </si>
  <si>
    <t>ACS Nano</t>
  </si>
  <si>
    <t>Mussel byssal plaque</t>
  </si>
  <si>
    <t>Maintain abundant catechol for wet adhesion while building a tough network</t>
  </si>
  <si>
    <t>Nanoclay confinement controls dopamine polymerization and preserves free catechol groups</t>
  </si>
  <si>
    <t>Use nanoscale compartmentalization to protect/reactive functional groups and localize adhesion chemistry</t>
  </si>
  <si>
    <t>Intrinsic / adhesive</t>
  </si>
  <si>
    <t>Wet contact + catechol chemistry</t>
  </si>
  <si>
    <t>Repeatable adhesion; healing-related dynamics</t>
  </si>
  <si>
    <t>PDA/nanoclay hydrogel</t>
  </si>
  <si>
    <t>Wet adhesion; biomedical materials</t>
  </si>
  <si>
    <t>&gt;1,000 citations surfaced</t>
  </si>
  <si>
    <t>https://pubs.acs.org/doi/10.1021/acsnano.6b05318</t>
  </si>
  <si>
    <t>Highly cited mussel-inspired hydrogel architecture.</t>
  </si>
  <si>
    <t>A17</t>
  </si>
  <si>
    <t>Mussel-Inspired Self-Healing Double-Cross-Linked Hydrogels by Controlled Combination of Metal Coordination and Covalent Cross-Linking</t>
  </si>
  <si>
    <t>Mussel adhesive chemistry</t>
  </si>
  <si>
    <t>Balance stiffness with the availability of reversible catechol interactions for healing</t>
  </si>
  <si>
    <t>Controlled irreversible covalent crosslinking plus reversible catechol/metal coordination</t>
  </si>
  <si>
    <t>Combine permanent structure and reversible repair bonds, but limit irreversible crosslink density so healing sites remain available</t>
  </si>
  <si>
    <t>pH / metal coordination</t>
  </si>
  <si>
    <t>Catechol double-network hydrogel</t>
  </si>
  <si>
    <t>Wet soft materials</t>
  </si>
  <si>
    <t>~135 citations surfaced</t>
  </si>
  <si>
    <t>https://pubs.acs.org/doi/10.1021/acs.biomac.7b01249</t>
  </si>
  <si>
    <t>Clear trade-off management between strength and healing.</t>
  </si>
  <si>
    <t>A18</t>
  </si>
  <si>
    <t>2023</t>
  </si>
  <si>
    <t>Tuning Water-Resistant Networks in Mussel-Inspired Hydrogels for Robust Wet Tissue and Bioelectronic Adhesion</t>
  </si>
  <si>
    <t>Mussel wet adhesion</t>
  </si>
  <si>
    <t>Maintain strong dynamic adhesion despite water competition</t>
  </si>
  <si>
    <t>Molecular network design tunes water resistance while retaining catechol-based adhesion and dynamic interactions</t>
  </si>
  <si>
    <t>Protect or tune dynamic bonds so the repair mechanism survives the operating environment</t>
  </si>
  <si>
    <t>Intrinsic / wet adhesive</t>
  </si>
  <si>
    <t>Mussel-inspired adhesive hydrogel</t>
  </si>
  <si>
    <t>Tissue and bioelectronic adhesion</t>
  </si>
  <si>
    <t>~200 citations surfaced</t>
  </si>
  <si>
    <t>https://pubs.acs.org/doi/abs/10.1021/acsnano.2c11053</t>
  </si>
  <si>
    <t>Environment-compatible repair chemistry.</t>
  </si>
  <si>
    <t>A19</t>
  </si>
  <si>
    <t>2021</t>
  </si>
  <si>
    <t>Bioinspired 3D Printable, Self-Healable, and Stretchable Hydrogels with Multiple Conductivities for Skin-like Wearable Strain Sensors</t>
  </si>
  <si>
    <t>Human skin</t>
  </si>
  <si>
    <t>Combine deformability, self-repair, sensing, and manufacturability</t>
  </si>
  <si>
    <t>Dynamic reversible hydrogel interactions enable self-healing while conductive phases preserve sensing</t>
  </si>
  <si>
    <t>Integrate repair with the material's information/sensing function and manufacturing route</t>
  </si>
  <si>
    <t>Contact / ambient conditions</t>
  </si>
  <si>
    <t>3D-printable conductive hydrogel</t>
  </si>
  <si>
    <t>Skin-like wearable sensors</t>
  </si>
  <si>
    <t>https://pubs.acs.org/doi/10.1021/acsami.0c19512</t>
  </si>
  <si>
    <t>Strong multifunctional e-skin example.</t>
  </si>
  <si>
    <t>A20</t>
  </si>
  <si>
    <t>A Bio-Inspired Self-Healing Conductive Hydrogel Promoting Peripheral Nerve Regeneration</t>
  </si>
  <si>
    <t>Nerve tissue / bioelectric regenerative environment</t>
  </si>
  <si>
    <t>Provide an electrically functional, repairable scaffold that supports biological regeneration</t>
  </si>
  <si>
    <t>Dynamic conductive hydrogel network combines self-healing with bioactive/nerve-supportive function</t>
  </si>
  <si>
    <t>Restore both physical continuity and system function, including biological signaling</t>
  </si>
  <si>
    <t>Conductive regenerative hydrogel</t>
  </si>
  <si>
    <t>Peripheral nerve regeneration</t>
  </si>
  <si>
    <t>~120 citations surfaced</t>
  </si>
  <si>
    <t>https://advanced.onlinelibrary.wiley.com/doi/10.1002/advs.202302519</t>
  </si>
  <si>
    <t>Bridges materials self-healing and tissue regeneration.</t>
  </si>
  <si>
    <t>A21</t>
  </si>
  <si>
    <t>2016</t>
  </si>
  <si>
    <t>Autonomous self-healing structural composites with bio-inspired design</t>
  </si>
  <si>
    <t>Scientific Reports</t>
  </si>
  <si>
    <t>Bone, silk, nacre</t>
  </si>
  <si>
    <t>Retain high ceramic content and toughness while repeatedly restoring fracture</t>
  </si>
  <si>
    <t>Ceramic bricks joined by thin supramolecular polymer interfaces with sacrificial/reversible bonds</t>
  </si>
  <si>
    <t>Confine the soft healing phase to thin interfaces so the bulk remains strong</t>
  </si>
  <si>
    <t>Intrinsic / autonomous</t>
  </si>
  <si>
    <t>Contact / supramolecular rebonding</t>
  </si>
  <si>
    <t>Brick-and-mortar ceramic/polymer composite</t>
  </si>
  <si>
    <t>Structural materials</t>
  </si>
  <si>
    <t>~70 citations surfaced</t>
  </si>
  <si>
    <t>https://www.nature.com/articles/srep25059</t>
  </si>
  <si>
    <t>Excellent architecture-level bioinspiration.</t>
  </si>
  <si>
    <t>A22</t>
  </si>
  <si>
    <t>Nacre-mimetic composite with intrinsic self-healing and shape-programmable properties</t>
  </si>
  <si>
    <t>Nacre</t>
  </si>
  <si>
    <t>Combine macroscopic dimensional stability with nanoscale molecular mobility for repair</t>
  </si>
  <si>
    <t>Aligned alumina platelets nanoconfine a reversible polymer matrix; heating enables local molecular mobility</t>
  </si>
  <si>
    <t>Use hard layered architecture to stabilize shape while confining a mobile healing phase</t>
  </si>
  <si>
    <t>Heat</t>
  </si>
  <si>
    <t>Nacre-like alumina/polymer composite</t>
  </si>
  <si>
    <t>Structural smart composites</t>
  </si>
  <si>
    <t>~210 citations surfaced</t>
  </si>
  <si>
    <t>https://www.nature.com/articles/s41467-019-08643-x</t>
  </si>
  <si>
    <t>Strong structure–healing trade-off solution.</t>
  </si>
  <si>
    <t>A23</t>
  </si>
  <si>
    <t>Additive manufacturing of self-healing elastomers</t>
  </si>
  <si>
    <t>NPG Asia Materials</t>
  </si>
  <si>
    <t>Nacre-like hard/soft hierarchy</t>
  </si>
  <si>
    <t>Manufacture complex repairable architectures while preserving hard/soft functional partitioning</t>
  </si>
  <si>
    <t>3D-printed nonhealable stiff phase combined with a healable soft elastomer phase in a nacre-like architecture</t>
  </si>
  <si>
    <t>Assign load-bearing and healing roles to different printable phases</t>
  </si>
  <si>
    <t>Intrinsic / printed composite</t>
  </si>
  <si>
    <t>Stimulus appropriate to elastomer chemistry</t>
  </si>
  <si>
    <t>Multimaterial additively manufactured elastomer composite</t>
  </si>
  <si>
    <t>3D printed soft structures</t>
  </si>
  <si>
    <t>https://www.nature.com/articles/s41427-019-0109-y</t>
  </si>
  <si>
    <t>Manufacturing-relevant hierarchical repair.</t>
  </si>
  <si>
    <t>A24</t>
  </si>
  <si>
    <t>Using graphene networks to build bioinspired self-healing electrical conductors in ceramic composites</t>
  </si>
  <si>
    <t>Hierarchical biological composites</t>
  </si>
  <si>
    <t>Preserve functional connectivity and enable restoration in a brittle ceramic-rich system</t>
  </si>
  <si>
    <t>3D graphene network embedded in ceramic architecture provides interconnected functional pathways and damage tolerance/self-repair-related functionality</t>
  </si>
  <si>
    <t>Build a continuous secondary network that preserves or restores function across a brittle host</t>
  </si>
  <si>
    <t>Architecture-enabled</t>
  </si>
  <si>
    <t>Thermal/electrical conditions</t>
  </si>
  <si>
    <t>System dependent</t>
  </si>
  <si>
    <t>Ceramic–graphene composite</t>
  </si>
  <si>
    <t>Structural/functional composites</t>
  </si>
  <si>
    <t>~155 citations surfaced</t>
  </si>
  <si>
    <t>https://www.nature.com/articles/ncomms14425</t>
  </si>
  <si>
    <t>Architecture-centric bioinspired functional composite.</t>
  </si>
  <si>
    <t>A25</t>
  </si>
  <si>
    <t>Segmented molecular design of self-healing proteinaceous materials</t>
  </si>
  <si>
    <t>Squid ring teeth proteins</t>
  </si>
  <si>
    <t>Combine stiff reinforcement with repeated self-healing in a protein material</t>
  </si>
  <si>
    <t>Hard β-sheet nanodomains reinforce a soft amorphous phase that becomes mobile and self-heals above Tg in water</t>
  </si>
  <si>
    <t>Segment the material into hard reinforcing blocks and soft mobile healing blocks</t>
  </si>
  <si>
    <t>Intrinsic / water-assisted</t>
  </si>
  <si>
    <t>Water + temperature</t>
  </si>
  <si>
    <t>Recombinant squid ring teeth protein</t>
  </si>
  <si>
    <t>Protein-based structural materials</t>
  </si>
  <si>
    <t>~50 citations surfaced</t>
  </si>
  <si>
    <t>https://www.nature.com/articles/srep13482</t>
  </si>
  <si>
    <t>Direct biological material model.</t>
  </si>
  <si>
    <t>A26</t>
  </si>
  <si>
    <t>From Soft Self-Healing Gels to Stiff Films in Suckerin-Based Materials Through Modulation of Crosslink Density and β-Sheet Content</t>
  </si>
  <si>
    <t>Squid sucker ring teeth / suckerin proteins</t>
  </si>
  <si>
    <t>Tune one biological polymer from soft/self-healing to stiff/structural states</t>
  </si>
  <si>
    <t>Control β-sheet content and crosslink density in block-copolymer-like proteins</t>
  </si>
  <si>
    <t>Use reversible secondary-structure content as a dial between mobility/healing and stiffness</t>
  </si>
  <si>
    <t>Hydration / molecular organization</t>
  </si>
  <si>
    <t>Suckerin protein material</t>
  </si>
  <si>
    <t>Protein biomaterials</t>
  </si>
  <si>
    <t>~100 citations surfaced</t>
  </si>
  <si>
    <t>https://advanced.onlinelibrary.wiley.com/doi/10.1002/adma.201500280</t>
  </si>
  <si>
    <t>Mechanistic protein design exemplar.</t>
  </si>
  <si>
    <t>A27</t>
  </si>
  <si>
    <t>Self-Repairing Oxetane-Substituted Chitosan Polyurethane Networks</t>
  </si>
  <si>
    <t>Science</t>
  </si>
  <si>
    <t>Chitosan / biological polysaccharide</t>
  </si>
  <si>
    <t>Repair polymer damage through chemistry embedded in a bio-derived network</t>
  </si>
  <si>
    <t>Oxetane-functional chitosan polyurethane undergoes self-repair reactions under suitable conditions</t>
  </si>
  <si>
    <t>Use a bio-derived scaffold carrying latent reversible/repairable chemistry</t>
  </si>
  <si>
    <t>Light / reaction conditions</t>
  </si>
  <si>
    <t>Chitosan polyurethane network</t>
  </si>
  <si>
    <t>Coatings and polymer networks</t>
  </si>
  <si>
    <t>~850 citations surfaced</t>
  </si>
  <si>
    <t>https://www.science.org/doi/10.1126/science.1167391</t>
  </si>
  <si>
    <t>Highly cited early intrinsic self-repair paper.</t>
  </si>
  <si>
    <t>A28</t>
  </si>
  <si>
    <t>Vascular smooth muscle-inspired architecture enables soft yet tough self-healing materials for durable capacitive strain-sensor</t>
  </si>
  <si>
    <t>Vascular smooth muscle cells</t>
  </si>
  <si>
    <t>Remain soft while resisting crack growth, then heal rapidly and keep sensing</t>
  </si>
  <si>
    <t>Core-shell liquid metal microdroplets blunt/deflect cracks; dynamic polyurea heals under NIR</t>
  </si>
  <si>
    <t>Use deformable inclusions to redirect cracks without increasing bulk stiffness, and make the inclusions assist healing/sensing</t>
  </si>
  <si>
    <t>Intrinsic / NIR-assisted</t>
  </si>
  <si>
    <t>Near-infrared</t>
  </si>
  <si>
    <t>Galinstan microdroplets in self-healing polyurea</t>
  </si>
  <si>
    <t>Durable strain sensors</t>
  </si>
  <si>
    <t>~220 citations surfaced</t>
  </si>
  <si>
    <t>https://www.nature.com/articles/s41467-023-35810-y</t>
  </si>
  <si>
    <t>Excellent architecture + sensing example.</t>
  </si>
  <si>
    <t>A29</t>
  </si>
  <si>
    <t>2024</t>
  </si>
  <si>
    <t>Ultrafast underwater self-healing piezo-ionic elastomer via dynamic hydrophobic-hydrolytic domains</t>
  </si>
  <si>
    <t>Cephalopod suckers and ring-teeth proteins</t>
  </si>
  <si>
    <t>Heal rapidly underwater while also sensing pressure</t>
  </si>
  <si>
    <t>Hydrophobic C–F domains limit water ingress while reversible boronate ester hydrolysis accelerates healing; ionic liquid provides mechanosensing</t>
  </si>
  <si>
    <t>Do not merely exclude an adverse environment; admit a controlled amount and use it to drive repair</t>
  </si>
  <si>
    <t>Water + dynamic hydrolysis</t>
  </si>
  <si>
    <t>Piezo-ionic polyurethane elastomer</t>
  </si>
  <si>
    <t>Underwater robotics; tactile interfaces</t>
  </si>
  <si>
    <t>https://www.nature.com/articles/s41467-024-46334-4</t>
  </si>
  <si>
    <t>Strong environment-adaptive repair principle.</t>
  </si>
  <si>
    <t>A30</t>
  </si>
  <si>
    <t>Skin-Inspired, Fully Autonomous Self-Warning and Self-Repairing Polymeric Material Under Damaging Events</t>
  </si>
  <si>
    <t>Chemistry of Materials</t>
  </si>
  <si>
    <t>Warn of damage and autonomously repair it</t>
  </si>
  <si>
    <t>Damage activates a visual/self-warning response and a repair pathway in the same polymeric system</t>
  </si>
  <si>
    <t>Make damage information and repair activation inseparable parts of the material response</t>
  </si>
  <si>
    <t>Self-warning polymeric material</t>
  </si>
  <si>
    <t>Protective smart materials</t>
  </si>
  <si>
    <t>~80 citations surfaced</t>
  </si>
  <si>
    <t>https://pubs.acs.org/doi/10.1021/acs.chemmater.9b00398</t>
  </si>
  <si>
    <t>Direct skin analogy.</t>
  </si>
  <si>
    <t>A31</t>
  </si>
  <si>
    <t>Bioinspired structural color patch with anisotropic surface adhesion</t>
  </si>
  <si>
    <t>Science Advances</t>
  </si>
  <si>
    <t>Biological anisotropic tissue/skin interfaces</t>
  </si>
  <si>
    <t>Combine directional adhesion, conformability, signaling/appearance, and repairability in a tissue patch</t>
  </si>
  <si>
    <t>Hydrogel film uses anisotropic surface adhesion and structural color; self-healing supports repeated function</t>
  </si>
  <si>
    <t>Use anisotropy so opposite surfaces or directions perform different interface functions</t>
  </si>
  <si>
    <t>Intrinsic / soft interface</t>
  </si>
  <si>
    <t>Contact / hydration</t>
  </si>
  <si>
    <t>Structural-color hydrogel patch</t>
  </si>
  <si>
    <t>Tissue interfaces; wearables</t>
  </si>
  <si>
    <t>~236 citations surfaced</t>
  </si>
  <si>
    <t>https://www.science.org/doi/10.1126/sciadv.aax8258</t>
  </si>
  <si>
    <t>Useful spatial differentiation principle.</t>
  </si>
  <si>
    <t>A32</t>
  </si>
  <si>
    <t>Stretchable self-healable semiconducting polymer film for active-matrix strain-sensing array</t>
  </si>
  <si>
    <t>Skin-like electronics</t>
  </si>
  <si>
    <t>Restore electrical function after cuts while remaining stretchable</t>
  </si>
  <si>
    <t>Semiconducting polymer network is designed for chain mobility and self-reconnection after damage</t>
  </si>
  <si>
    <t>Healing must restore the system's functional pathway, not only its mechanical continuity</t>
  </si>
  <si>
    <t>Thermal/ambient depending on formulation</t>
  </si>
  <si>
    <t>Self-healable semiconducting polymer film</t>
  </si>
  <si>
    <t>Electronic skin; active-matrix sensors</t>
  </si>
  <si>
    <t>~300 citations surfaced</t>
  </si>
  <si>
    <t>https://www.science.org/doi/10.1126/sciadv.aav3097</t>
  </si>
  <si>
    <t>Functional recovery benchmark for electronics.</t>
  </si>
  <si>
    <t>A33</t>
  </si>
  <si>
    <t>2025</t>
  </si>
  <si>
    <t>Stiff and self-healing hydrogels by polymer entanglements in co-planar nanoconfinement</t>
  </si>
  <si>
    <t>Strong, stiff yet healable biological tissues</t>
  </si>
  <si>
    <t>Escape the usual stiffness–healing trade-off</t>
  </si>
  <si>
    <t>Highly concentrated polymer chains are confined between aligned nanosheets, producing strong entanglement while preserving chain mobility for healing</t>
  </si>
  <si>
    <t>Use planar nanoconfinement to increase effective entanglement density without chemically freezing the network</t>
  </si>
  <si>
    <t>Contact / chain diffusion</t>
  </si>
  <si>
    <t>Nanoconfined hydrogel</t>
  </si>
  <si>
    <t>Soft robotics; additive manufacturing; biomedical materials</t>
  </si>
  <si>
    <t>~170 citations surfaced</t>
  </si>
  <si>
    <t>https://www.nature.com/articles/s41563-025-02146-5</t>
  </si>
  <si>
    <t>Important recent solution to strength–healing trade-off.</t>
  </si>
  <si>
    <t>A34</t>
  </si>
  <si>
    <t>2008</t>
  </si>
  <si>
    <t>Stimuli-Responsive Polymer Nanocomposites Inspired by the Sea Cucumber Dermis</t>
  </si>
  <si>
    <t>Sea cucumber dermis</t>
  </si>
  <si>
    <t>Switch rapidly between soft and stiff mechanical states</t>
  </si>
  <si>
    <t>Cellulose nanofiber network changes mechanical coupling under chemical stimuli</t>
  </si>
  <si>
    <t>Make stiffness reversible and environment-dependent instead of fixed</t>
  </si>
  <si>
    <t>Adaptive / stimuli-responsive</t>
  </si>
  <si>
    <t>Chemical environment</t>
  </si>
  <si>
    <t>Cellulose-reinforced polymer nanocomposite</t>
  </si>
  <si>
    <t>Adaptive structures; soft robotics</t>
  </si>
  <si>
    <t>&gt;1,100 citations surfaced</t>
  </si>
  <si>
    <t>https://www.science.org/doi/10.1126/science.1153307</t>
  </si>
  <si>
    <t>Not a self-healing paper per se; included as a high-value adaptive-remodeling mechanism anchor.</t>
  </si>
  <si>
    <t>A35</t>
  </si>
  <si>
    <t>Mussel-Inspired Surface Chemistry for Multifunctional Coatings</t>
  </si>
  <si>
    <t>Mussel adhesive proteins</t>
  </si>
  <si>
    <t>Create robust wet adhesion across many material surfaces</t>
  </si>
  <si>
    <t>Dopamine undergoes oxidative self-polymerization to form adhesive polydopamine coatings</t>
  </si>
  <si>
    <t>Use a universal interfacial chemistry that deposits under mild aqueous conditions and provides many secondary functional handles</t>
  </si>
  <si>
    <t>Interfacial / coating</t>
  </si>
  <si>
    <t>Aqueous oxidation</t>
  </si>
  <si>
    <t>Reusable as platform chemistry</t>
  </si>
  <si>
    <t>Polydopamine surface coating</t>
  </si>
  <si>
    <t>Adhesives; coatings; biointerfaces</t>
  </si>
  <si>
    <t>&gt;12,000 citations surfaced</t>
  </si>
  <si>
    <t>https://www.science.org/doi/10.1126/science.1147241</t>
  </si>
  <si>
    <t>Major mechanism anchor for bioinspired adhesion and repair interfaces.</t>
  </si>
  <si>
    <t>A36</t>
  </si>
  <si>
    <t>Iron-Clad Fibers: A Metal-Based Biological Strategy for Hard Flexible Coatings</t>
  </si>
  <si>
    <t>Create a coating that is hard yet extensible and damage tolerant</t>
  </si>
  <si>
    <t>DOPA-rich proteins coordinate metals to form strong reversible crosslinks in a granular coating</t>
  </si>
  <si>
    <t>Use metal-mediated crosslinks and granular hierarchy to combine hardness with flexibility</t>
  </si>
  <si>
    <t>Biological mechanism anchor</t>
  </si>
  <si>
    <t>Metal coordination</t>
  </si>
  <si>
    <t>Repeatable molecular exchange</t>
  </si>
  <si>
    <t>Biological byssal cuticle</t>
  </si>
  <si>
    <t>Tough coatings and elastomers</t>
  </si>
  <si>
    <t>https://www.science.org/doi/10.1126/science.1181044</t>
  </si>
  <si>
    <t>Key biological mechanics anchor.</t>
  </si>
  <si>
    <t>A37</t>
  </si>
  <si>
    <t>Toughening elastomers using mussel-inspired iron-catechol complexes</t>
  </si>
  <si>
    <t>Mussel byssus</t>
  </si>
  <si>
    <t>Dissipate large amounts of energy without permanent network failure</t>
  </si>
  <si>
    <t>Iron-catechol coordination acts as dynamic sacrificial crosslinks inside elastomers</t>
  </si>
  <si>
    <t>Use strong-but-reversible coordination complexes as recoverable sacrificial bonds</t>
  </si>
  <si>
    <t>Mechanical loading + bond exchange</t>
  </si>
  <si>
    <t>Iron-catechol elastomer</t>
  </si>
  <si>
    <t>Tough self-repair-capable elastomers</t>
  </si>
  <si>
    <t>~800 citations surfaced</t>
  </si>
  <si>
    <t>https://www.science.org/doi/10.1126/science.aao0350</t>
  </si>
  <si>
    <t>Highly cited sacrificial-bond design principle.</t>
  </si>
  <si>
    <t>A38</t>
  </si>
  <si>
    <t>1981</t>
  </si>
  <si>
    <t>Polyphenolic Substance of Mytilus edulis: Novel Adhesive Containing L-Dopa and Hydroxyproline</t>
  </si>
  <si>
    <t>Blue mussel adhesive plaque</t>
  </si>
  <si>
    <t>Adhere strongly to wet mineral/organic surfaces</t>
  </si>
  <si>
    <t>Identification of DOPA-rich adhesive protein chemistry</t>
  </si>
  <si>
    <t>Use catechol-rich chemistry to displace interfacial water and create multiple bonding modes</t>
  </si>
  <si>
    <t>Wet interface chemistry</t>
  </si>
  <si>
    <t>Biological renewal</t>
  </si>
  <si>
    <t>Mussel adhesive protein chemistry</t>
  </si>
  <si>
    <t>Wet adhesives; repair interfaces</t>
  </si>
  <si>
    <t>&gt;1,200 citations surfaced</t>
  </si>
  <si>
    <t>https://www.science.org/doi/10.1126/science.212.4498.1038</t>
  </si>
  <si>
    <t>Foundational biological model paper.</t>
  </si>
  <si>
    <t>A39</t>
  </si>
  <si>
    <t>Bioinspired mechanically active adhesive dressings to accelerate wound closure</t>
  </si>
  <si>
    <t>Embryonic wound closure</t>
  </si>
  <si>
    <t>Close wounds by actively generating mechanical contraction rather than passively covering damage</t>
  </si>
  <si>
    <t>Thermoresponsive adhesive dressing contracts and transmits force to wound edges</t>
  </si>
  <si>
    <t>Repair can actively move damaged boundaries together before biochemical/material reconstruction</t>
  </si>
  <si>
    <t>Active / stimulus-responsive</t>
  </si>
  <si>
    <t>Body temperature / thermal response</t>
  </si>
  <si>
    <t>Single treatment device</t>
  </si>
  <si>
    <t>Mechanically active adhesive dressing</t>
  </si>
  <si>
    <t>Wound closure; soft biomedical repair</t>
  </si>
  <si>
    <t>~586 citations surfaced</t>
  </si>
  <si>
    <t>https://www.science.org/doi/10.1126/sciadv.aaw3963</t>
  </si>
  <si>
    <t>Excellent biological process anchor for active crack/wound closure.</t>
  </si>
  <si>
    <t>A40</t>
  </si>
  <si>
    <t>Tough adhesives for diverse wet surfaces</t>
  </si>
  <si>
    <t>Biological wet adhesion / tough tissue interfaces</t>
  </si>
  <si>
    <t>Maintain strong adhesion to wet, moving, deformable tissues</t>
  </si>
  <si>
    <t>A dissipative matrix is combined with strong interfacial bonding to create high interfacial toughness</t>
  </si>
  <si>
    <t>Pair adhesion chemistry with a bulk energy-dissipation layer; interface strength alone is not enough</t>
  </si>
  <si>
    <t>Interfacial / tough adhesive</t>
  </si>
  <si>
    <t>Contact + wet bonding</t>
  </si>
  <si>
    <t>Reusable concept; formulation dependent</t>
  </si>
  <si>
    <t>Tough hydrogel adhesive</t>
  </si>
  <si>
    <t>Tissue sealing; wet structural adhesion</t>
  </si>
  <si>
    <t>&gt;1,700 citations surfaced</t>
  </si>
  <si>
    <t>https://www.science.org/doi/10.1126/science.aah6362</t>
  </si>
  <si>
    <t>Mechanism anchor for durable sealing and repair interfaces.</t>
  </si>
  <si>
    <t>Nature Repair Ontology — AI / knowledge-graph schema</t>
  </si>
  <si>
    <t>Recommended data model for converting biological evidence and engineering papers into reasoning-ready records. The engine should retrieve mechanisms by challenge/constraint, not by organism name alone.</t>
  </si>
  <si>
    <t>Field</t>
  </si>
  <si>
    <t>Entity / layer</t>
  </si>
  <si>
    <t>Question the engine answers</t>
  </si>
  <si>
    <t>Controlled vocabulary / data type</t>
  </si>
  <si>
    <t>Example</t>
  </si>
  <si>
    <t>Reasoning role</t>
  </si>
  <si>
    <t>Required?</t>
  </si>
  <si>
    <t>Validation rule / caveat</t>
  </si>
  <si>
    <t>Record_ID</t>
  </si>
  <si>
    <t>All</t>
  </si>
  <si>
    <t>What unique assertion/model/paper/strategy is this?</t>
  </si>
  <si>
    <t>Unique string</t>
  </si>
  <si>
    <t>BIO-M19 / STR-NR11 / PAP-B01</t>
  </si>
  <si>
    <t>Graph identity</t>
  </si>
  <si>
    <t>Yes</t>
  </si>
  <si>
    <t>Never reuse IDs across entity types.</t>
  </si>
  <si>
    <t>Entity_Type</t>
  </si>
  <si>
    <t>What kind of thing is this record?</t>
  </si>
  <si>
    <t>BiologicalModel / Primitive / Strategy / Paper / Relation / Metric / ChallengeRule</t>
  </si>
  <si>
    <t>Routing</t>
  </si>
  <si>
    <t>Controls which fields are applicable.</t>
  </si>
  <si>
    <t>Biological_Model_ID</t>
  </si>
  <si>
    <t>Biological evidence</t>
  </si>
  <si>
    <t>Which organism/tissue/system demonstrates the mechanism?</t>
  </si>
  <si>
    <t>M01–M30 + expandable</t>
  </si>
  <si>
    <t>M19 CODIT</t>
  </si>
  <si>
    <t>Evidence anchor</t>
  </si>
  <si>
    <t>When biological</t>
  </si>
  <si>
    <t>One model can map to multiple primitives/strategies.</t>
  </si>
  <si>
    <t>Biological_Domain</t>
  </si>
  <si>
    <t>What type of living system is it?</t>
  </si>
  <si>
    <t>Animal / plant / microorganism / tissue / cellular / ecological</t>
  </si>
  <si>
    <t>Woody plant</t>
  </si>
  <si>
    <t>Transfer context</t>
  </si>
  <si>
    <t>Recommended</t>
  </si>
  <si>
    <t>Do not infer taxonomy beyond source support.</t>
  </si>
  <si>
    <t>Damage_or_Challenge</t>
  </si>
  <si>
    <t>Problem</t>
  </si>
  <si>
    <t>What failure must be prevented or repaired?</t>
  </si>
  <si>
    <t>Functional sentence + damage tags</t>
  </si>
  <si>
    <t>Stop crack-mediated fluid ingress</t>
  </si>
  <si>
    <t>Problem abstraction</t>
  </si>
  <si>
    <t>State damage, not solution.</t>
  </si>
  <si>
    <t>Damage_Topology</t>
  </si>
  <si>
    <t>What is the geometry/location of damage?</t>
  </si>
  <si>
    <t>Surface / interface / microcrack / deep crack / distributed / missing volume / deposit</t>
  </si>
  <si>
    <t>Deep crack</t>
  </si>
  <si>
    <t>Feasibility filter</t>
  </si>
  <si>
    <t>Needed for penetration/access reasoning.</t>
  </si>
  <si>
    <t>Damage_Severity</t>
  </si>
  <si>
    <t>How large/severe is the defect?</t>
  </si>
  <si>
    <t>Numeric + units + class</t>
  </si>
  <si>
    <t>0.4 mm crack</t>
  </si>
  <si>
    <t>Scale matching</t>
  </si>
  <si>
    <t>If known</t>
  </si>
  <si>
    <t>Store original measured value.</t>
  </si>
  <si>
    <t>Repair_Phase</t>
  </si>
  <si>
    <t>Ontology</t>
  </si>
  <si>
    <t>At which step does the mechanism act?</t>
  </si>
  <si>
    <t>0 Prevent / 1 Detect / 2 Stabilize / 3 Mobilize / 4 Reconstruct / 5 Remodel-Verify</t>
  </si>
  <si>
    <t>Sequence planning</t>
  </si>
  <si>
    <t>Multi-phase values allowed.</t>
  </si>
  <si>
    <t>Primitive_IDs</t>
  </si>
  <si>
    <t>Biological mechanism</t>
  </si>
  <si>
    <t>What minimal natural actions are present?</t>
  </si>
  <si>
    <t>P01–P16 array</t>
  </si>
  <si>
    <t>P06,P11</t>
  </si>
  <si>
    <t>Mechanism decomposition</t>
  </si>
  <si>
    <t>Prefer evidence-backed primitive assignment.</t>
  </si>
  <si>
    <t>Strategy_IDs</t>
  </si>
  <si>
    <t>Engineering abstraction</t>
  </si>
  <si>
    <t>Which reusable repair strategy/strategies apply?</t>
  </si>
  <si>
    <t>NR01–NR16 array</t>
  </si>
  <si>
    <t>NR06,NR11</t>
  </si>
  <si>
    <t>Strategy retrieval</t>
  </si>
  <si>
    <t>Primary + complementary strategy order matters.</t>
  </si>
  <si>
    <t>Causal layer</t>
  </si>
  <si>
    <t>How does the natural/engineered system actually work?</t>
  </si>
  <si>
    <t>Evidence-backed prose / structured steps</t>
  </si>
  <si>
    <t>Damage releases latex; capillarity carries it into wound</t>
  </si>
  <si>
    <t>Causal reasoning</t>
  </si>
  <si>
    <t>Avoid metaphor-only descriptions.</t>
  </si>
  <si>
    <t>Biological_Sequence</t>
  </si>
  <si>
    <t>What happens first, next, and last?</t>
  </si>
  <si>
    <t>Ordered steps</t>
  </si>
  <si>
    <t>Detect → wall off → preserve healthy tissue</t>
  </si>
  <si>
    <t>Temporal reasoning</t>
  </si>
  <si>
    <t>Biological repair is often a process, not a material property.</t>
  </si>
  <si>
    <t>Abstracted_Principle</t>
  </si>
  <si>
    <t>Transfer layer</t>
  </si>
  <si>
    <t>What rule remains after biological nouns are removed?</t>
  </si>
  <si>
    <t>Engineering-neutral 1–2 sentences</t>
  </si>
  <si>
    <t>Isolate a failing zone when local recovery is not worth propagation risk</t>
  </si>
  <si>
    <t>Cross-domain transfer</t>
  </si>
  <si>
    <t>Must not contain unnecessary organism-specific form.</t>
  </si>
  <si>
    <t>Activation</t>
  </si>
  <si>
    <t>What starts the response?</t>
  </si>
  <si>
    <t>Damage / water / pH / heat / light/NIR / electric / ions / strain-rate / metabolism / time</t>
  </si>
  <si>
    <t>Water + crack exposure</t>
  </si>
  <si>
    <t>Store thresholds/ranges when known.</t>
  </si>
  <si>
    <t>Sensor_or_Recognition</t>
  </si>
  <si>
    <t>What detects the disturbance?</t>
  </si>
  <si>
    <t>Mechanical rupture / receptor / optical / electrical / chemical / none</t>
  </si>
  <si>
    <t>Capsule rupture</t>
  </si>
  <si>
    <t>Closed-loop reasoning</t>
  </si>
  <si>
    <t>Optional</t>
  </si>
  <si>
    <t>Do not invent sensing for passive chemistry.</t>
  </si>
  <si>
    <t>Activation_Threshold</t>
  </si>
  <si>
    <t>What condition must be exceeded?</t>
  </si>
  <si>
    <t>Numeric range + units / categorical</t>
  </si>
  <si>
    <t>pH range; strain rate threshold</t>
  </si>
  <si>
    <t>Feasibility</t>
  </si>
  <si>
    <t>Tie to source.</t>
  </si>
  <si>
    <t>Controller_or_Feedback</t>
  </si>
  <si>
    <t>Control</t>
  </si>
  <si>
    <t>How is response amplified, stopped, or verified?</t>
  </si>
  <si>
    <t>Local chemistry / cellular signaling / feedback signal / none</t>
  </si>
  <si>
    <t>Signal returns as conductivity recovers</t>
  </si>
  <si>
    <t>Control logic</t>
  </si>
  <si>
    <t>Separate trigger from feedback.</t>
  </si>
  <si>
    <t>Repair_Resource</t>
  </si>
  <si>
    <t>Resource</t>
  </si>
  <si>
    <t>What matter/chemistry performs repair?</t>
  </si>
  <si>
    <t>Cells / mineral ions / polymer / solvent / dynamic bonds / existing trapped material</t>
  </si>
  <si>
    <t>Ca2+ + carbonate</t>
  </si>
  <si>
    <t>Material feasibility</t>
  </si>
  <si>
    <t>Distinguish resource from carrier.</t>
  </si>
  <si>
    <t>Resource_Location</t>
  </si>
  <si>
    <t>Where is repair capacity before damage?</t>
  </si>
  <si>
    <t>Intrinsic / local capsule / distributed reservoir / vascular network / ambient / external / living</t>
  </si>
  <si>
    <t>Embedded spores + nutrients</t>
  </si>
  <si>
    <t>Architecture selection</t>
  </si>
  <si>
    <t>Predicts depletion and autonomy.</t>
  </si>
  <si>
    <t>Resource_Renewability</t>
  </si>
  <si>
    <t>Can repair capacity be replenished?</t>
  </si>
  <si>
    <t>None / finite / refillable / metabolic / ambient-continuous</t>
  </si>
  <si>
    <t>Ambient water + finite nutrients</t>
  </si>
  <si>
    <t>Lifecycle reasoning</t>
  </si>
  <si>
    <t>Do not equate living with unlimited.</t>
  </si>
  <si>
    <t>Energy_Source</t>
  </si>
  <si>
    <t>What energy is required?</t>
  </si>
  <si>
    <t>None/passive / ambient / chemical / metabolic / thermal / optical / electrical / mechanical</t>
  </si>
  <si>
    <t>80°C thermal + water</t>
  </si>
  <si>
    <t>Autonomy/cost</t>
  </si>
  <si>
    <t>Quantify if possible.</t>
  </si>
  <si>
    <t>Transport_Mode</t>
  </si>
  <si>
    <t>Mobilization</t>
  </si>
  <si>
    <t>How does resource reach defect?</t>
  </si>
  <si>
    <t>None / diffusion / capillarity / flow / vascular pumping / cell growth / ionic migration / dissolution</t>
  </si>
  <si>
    <t>Capillary flow</t>
  </si>
  <si>
    <t>Access reasoning</t>
  </si>
  <si>
    <t>Key for deep/inaccessible damage.</t>
  </si>
  <si>
    <t>Penetration_or_Reach</t>
  </si>
  <si>
    <t>How far does repair act from access point?</t>
  </si>
  <si>
    <t>Depth/distance + units / qualitative</t>
  </si>
  <si>
    <t>14% max deep crack healing vs full mouth closure</t>
  </si>
  <si>
    <t>Spatial evidence</t>
  </si>
  <si>
    <t>When relevant</t>
  </si>
  <si>
    <t>Do not use surface metric as proxy.</t>
  </si>
  <si>
    <t>Reconstruction_Mode</t>
  </si>
  <si>
    <t>Repair</t>
  </si>
  <si>
    <t>What physical action restores continuity?</t>
  </si>
  <si>
    <t>Plug / adhere / rebond / precipitate / regrow / replace / redistribute / isolate</t>
  </si>
  <si>
    <t>CaCO3 precipitation</t>
  </si>
  <si>
    <t>Mechanism matching</t>
  </si>
  <si>
    <t>Containment is valid even without reconstruction.</t>
  </si>
  <si>
    <t>Repair_Scale</t>
  </si>
  <si>
    <t>At what spatial scale does it operate?</t>
  </si>
  <si>
    <t>Molecular / nano / interface / microcrack / macrocrack / component</t>
  </si>
  <si>
    <t>Microcrack</t>
  </si>
  <si>
    <t>Can store multiple scales.</t>
  </si>
  <si>
    <t>Temporal_Profile</t>
  </si>
  <si>
    <t>How fast and in how many stages?</t>
  </si>
  <si>
    <t>Time value + immediate/staged/delayed/remodeling</t>
  </si>
  <si>
    <t>Fast seal, days reconstruction</t>
  </si>
  <si>
    <t>Performance matching</t>
  </si>
  <si>
    <t>Link time to recovery metric.</t>
  </si>
  <si>
    <t>Lifecycle</t>
  </si>
  <si>
    <t>How many repair cycles are possible?</t>
  </si>
  <si>
    <t>Single-shot / finite multi-cycle / refillable / continuous + tested cycles</t>
  </si>
  <si>
    <t>Five tested cycles</t>
  </si>
  <si>
    <t>Differentiate tested vs inferred.</t>
  </si>
  <si>
    <t>Depletion_or_Fatigue_Mode</t>
  </si>
  <si>
    <t>Why will repair ability eventually decline?</t>
  </si>
  <si>
    <t>Payload exhausted / catalyst loss / cell death / network damage / hysteresis / unknown</t>
  </si>
  <si>
    <t>Nutrient depletion</t>
  </si>
  <si>
    <t>Risk control</t>
  </si>
  <si>
    <t>Important for repeatability claims.</t>
  </si>
  <si>
    <t>Intervention_Mode</t>
  </si>
  <si>
    <t>System architecture</t>
  </si>
  <si>
    <t>How much external human/system help is required?</t>
  </si>
  <si>
    <t>Autogenic / autonomous engineered / stimulus-assisted / externally replenished / externally applied repair</t>
  </si>
  <si>
    <t>External bacterial treatment</t>
  </si>
  <si>
    <t>Terminology</t>
  </si>
  <si>
    <t>External healing is not strict self-healing under RILEM.</t>
  </si>
  <si>
    <t>Function_Restored</t>
  </si>
  <si>
    <t>Outcome</t>
  </si>
  <si>
    <t>What capability returns?</t>
  </si>
  <si>
    <t>Barrier / strength / stiffness / toughness / adhesion / electrical / sensing / actuation / biological / system continuity</t>
  </si>
  <si>
    <t>Permeability + compressive strength</t>
  </si>
  <si>
    <t>Outcome definition</t>
  </si>
  <si>
    <t>Store multiple separately.</t>
  </si>
  <si>
    <t>Recovery_Metric_ID</t>
  </si>
  <si>
    <t>How is restoration quantified?</t>
  </si>
  <si>
    <t>E01–E20 array</t>
  </si>
  <si>
    <t>E02,E03,E04</t>
  </si>
  <si>
    <t>Comparable evidence</t>
  </si>
  <si>
    <t>Generic 'healing efficiency' is insufficient.</t>
  </si>
  <si>
    <t>Performance_Value</t>
  </si>
  <si>
    <t>What was recovered?</t>
  </si>
  <si>
    <t>Numeric + units + denominator</t>
  </si>
  <si>
    <t>97.7% strength-based healing efficiency under stated protocol</t>
  </si>
  <si>
    <t>Evidence weighting</t>
  </si>
  <si>
    <t>If reported</t>
  </si>
  <si>
    <t>Always pair with conditions.</t>
  </si>
  <si>
    <t>Recovery_Conditions</t>
  </si>
  <si>
    <t>Under what temperature/humidity/pH/time/loading was value achieved?</t>
  </si>
  <si>
    <t>Structured environment/protocol</t>
  </si>
  <si>
    <t>Water spray + 80°C + 24 h</t>
  </si>
  <si>
    <t>Transfer feasibility</t>
  </si>
  <si>
    <t>Yes when quantitative</t>
  </si>
  <si>
    <t>No performance number without conditions.</t>
  </si>
  <si>
    <t>Residual_Damage</t>
  </si>
  <si>
    <t>What remains after functional recovery?</t>
  </si>
  <si>
    <t>Geometry / microscopy / qualitative</t>
  </si>
  <si>
    <t>Interior crack remains partly open</t>
  </si>
  <si>
    <t>Safety reasoning</t>
  </si>
  <si>
    <t>Supports graceful degradation assessment.</t>
  </si>
  <si>
    <t>Tradeoff</t>
  </si>
  <si>
    <t>Constraint</t>
  </si>
  <si>
    <t>What performance dimension is sacrificed?</t>
  </si>
  <si>
    <t>Strength↔mobility etc.</t>
  </si>
  <si>
    <t>More HAP reduces chain mobility</t>
  </si>
  <si>
    <t>Optimization</t>
  </si>
  <si>
    <t>Can be mechanism-specific.</t>
  </si>
  <si>
    <t>Failure_Mode</t>
  </si>
  <si>
    <t>Why can this repair strategy fail?</t>
  </si>
  <si>
    <t>Controlled list + text</t>
  </si>
  <si>
    <t>No capsule intersects crack; channel severed</t>
  </si>
  <si>
    <t>Risk filtering</t>
  </si>
  <si>
    <t>Use to reject analogies.</t>
  </si>
  <si>
    <t>Environmental_Constraints</t>
  </si>
  <si>
    <t>What conditions make the biological/engineering mechanism viable?</t>
  </si>
  <si>
    <t>pH / humidity / light / temperature / salinity / oxygen / nutrients</t>
  </si>
  <si>
    <t>Algae require light</t>
  </si>
  <si>
    <t>Yes for living/stimulus systems</t>
  </si>
  <si>
    <t>Treat ecology as engineering requirement.</t>
  </si>
  <si>
    <t>Application_Domain</t>
  </si>
  <si>
    <t>Transfer</t>
  </si>
  <si>
    <t>Where was it demonstrated?</t>
  </si>
  <si>
    <t>Concrete / coating / composite / battery / wearable / biomedical / robotics etc.</t>
  </si>
  <si>
    <t>Marine concrete</t>
  </si>
  <si>
    <t>Transfer distance</t>
  </si>
  <si>
    <t>Do not overgeneralize proof across domains.</t>
  </si>
  <si>
    <t>Technology_Maturity</t>
  </si>
  <si>
    <t>Evidence</t>
  </si>
  <si>
    <t>How close is it to deployment?</t>
  </si>
  <si>
    <t>Concept / lab / pilot / field / commercial</t>
  </si>
  <si>
    <t>Lab</t>
  </si>
  <si>
    <t>Translation risk</t>
  </si>
  <si>
    <t>Separate maturity from scientific plausibility.</t>
  </si>
  <si>
    <t>Evidence_Type</t>
  </si>
  <si>
    <t>What kind of source supports this record?</t>
  </si>
  <si>
    <t>Primary article / review / thesis / conference / preprint / supporting information</t>
  </si>
  <si>
    <t>Primary article</t>
  </si>
  <si>
    <t>Preprint and SI are lower weight.</t>
  </si>
  <si>
    <t>Peer_Review_Status</t>
  </si>
  <si>
    <t>Has the source been peer reviewed?</t>
  </si>
  <si>
    <t>Peer reviewed / not peer reviewed / thesis / unknown</t>
  </si>
  <si>
    <t>Not peer reviewed</t>
  </si>
  <si>
    <t>Never silently upgrade status.</t>
  </si>
  <si>
    <t>Source_DOI_URL</t>
  </si>
  <si>
    <t>Where can the evidence be validated?</t>
  </si>
  <si>
    <t>Plain-text DOI/URL</t>
  </si>
  <si>
    <t>https://doi.org/...</t>
  </si>
  <si>
    <t>Provenance</t>
  </si>
  <si>
    <t>Prefer persistent DOI/publisher source.</t>
  </si>
  <si>
    <t>Source_File</t>
  </si>
  <si>
    <t>Which attached file supplied the assertion?</t>
  </si>
  <si>
    <t>Filename</t>
  </si>
  <si>
    <t>2023vanderBerghphd.pdf</t>
  </si>
  <si>
    <t>Traceability</t>
  </si>
  <si>
    <t>When attached</t>
  </si>
  <si>
    <t>Useful even when URL unavailable.</t>
  </si>
  <si>
    <t>Evidence_Confidence</t>
  </si>
  <si>
    <t>How strongly should the engine rely on this assertion?</t>
  </si>
  <si>
    <t>Very High / High / Medium–High / Medium / Low–Medium</t>
  </si>
  <si>
    <t>Very High</t>
  </si>
  <si>
    <t>Ranking</t>
  </si>
  <si>
    <t>Combine source quality + directness + replication.</t>
  </si>
  <si>
    <t>Inference_Flag</t>
  </si>
  <si>
    <t>Governance</t>
  </si>
  <si>
    <t>Is this statement directly supported or abstracted/inferred?</t>
  </si>
  <si>
    <t>Source-derived / synthesis / inference</t>
  </si>
  <si>
    <t>Ontology synthesis</t>
  </si>
  <si>
    <t>Transparency</t>
  </si>
  <si>
    <t>Machine-generated transfer rules must be marked.</t>
  </si>
  <si>
    <t>Contradiction_or_Tension</t>
  </si>
  <si>
    <t>Do sources disagree or reveal a boundary condition?</t>
  </si>
  <si>
    <t>Text + linked assertions</t>
  </si>
  <si>
    <t>Algae can heal exposed cracks; light limits deep internal use</t>
  </si>
  <si>
    <t>Robust reasoning</t>
  </si>
  <si>
    <t>Preserve tension instead of forcing false reconciliation.</t>
  </si>
  <si>
    <t>Transfer_Rule</t>
  </si>
  <si>
    <t>Reasoning output</t>
  </si>
  <si>
    <t>Under what conditions may this mechanism transfer to another domain?</t>
  </si>
  <si>
    <t>IF–THEN rule</t>
  </si>
  <si>
    <t>IF damage recurs at unknown internal locations AND fluid channels are feasible THEN prioritize NR06</t>
  </si>
  <si>
    <t>Concept generation</t>
  </si>
  <si>
    <t>Yes for strategy records</t>
  </si>
  <si>
    <t>Must include constraints, not only benefits.</t>
  </si>
  <si>
    <t>Core relation vocabulary for a future knowledge graph</t>
  </si>
  <si>
    <t>Relation</t>
  </si>
  <si>
    <t>Meaning</t>
  </si>
  <si>
    <t>USES_PRIMITIVE</t>
  </si>
  <si>
    <t>Biological model or strategy employs primitive</t>
  </si>
  <si>
    <t>M19 USES_PRIMITIVE P09</t>
  </si>
  <si>
    <t>INSPIRES</t>
  </si>
  <si>
    <t>Biological model provides causal inspiration for strategy</t>
  </si>
  <si>
    <t>M03 INSPIRES NR13</t>
  </si>
  <si>
    <t>TRIGGERED_BY</t>
  </si>
  <si>
    <t>Response activates under condition</t>
  </si>
  <si>
    <t>NR11 TRIGGERED_BY moisture/nutrients</t>
  </si>
  <si>
    <t>REQUIRES</t>
  </si>
  <si>
    <t>Mechanism is infeasible without condition/resource</t>
  </si>
  <si>
    <t>NR08 REQUIRES molecular mobility</t>
  </si>
  <si>
    <t>LIMITED_BY</t>
  </si>
  <si>
    <t>Known failure boundary</t>
  </si>
  <si>
    <t>NR05 LIMITED_BY finite payload</t>
  </si>
  <si>
    <t>PRECEDES</t>
  </si>
  <si>
    <t>Temporal order</t>
  </si>
  <si>
    <t>NR03 PRECEDES NR12</t>
  </si>
  <si>
    <t>COMPLEMENTS</t>
  </si>
  <si>
    <t>Strategies improve each other</t>
  </si>
  <si>
    <t>NR10 COMPLEMENTS NR08</t>
  </si>
  <si>
    <t>CONFLICTS_WITH</t>
  </si>
  <si>
    <t>One response can impede another</t>
  </si>
  <si>
    <t>NR03 CAN CONFLICT WITH deep transport</t>
  </si>
  <si>
    <t>RESTORES_FUNCTION</t>
  </si>
  <si>
    <t>Names recovered capability</t>
  </si>
  <si>
    <t>NR03 RESTORES_FUNCTION barrier</t>
  </si>
  <si>
    <t>MEASURE_WITH</t>
  </si>
  <si>
    <t>Links strategy to metric ontology</t>
  </si>
  <si>
    <t>NR11 MEASURE_WITH E01,E02,E03,E04</t>
  </si>
  <si>
    <t>NOT_EQUIVALENT_TO</t>
  </si>
  <si>
    <t>Prevents category errors</t>
  </si>
  <si>
    <t>Self-sealing NOT_EQUIVALENT_TO strength recovery</t>
  </si>
  <si>
    <t>Nature Self-Healing Knowledge Map</t>
  </si>
  <si>
    <t>60 validated academic papers mapped by reusable biological repair strategy • 20-paper base set + 40 additional high-impact / foundational papers</t>
  </si>
  <si>
    <t>Biological analogs</t>
  </si>
  <si>
    <t>What nature solves</t>
  </si>
  <si>
    <t>Typical engineering translation</t>
  </si>
  <si>
    <t>Typical triggers</t>
  </si>
  <si>
    <t>Paper count</t>
  </si>
  <si>
    <t>Strategy profile</t>
  </si>
  <si>
    <t>Papers</t>
  </si>
  <si>
    <t>Mussels, skin, clotting/tissue closure</t>
  </si>
  <si>
    <t>Create fast wet adhesion or sealing at the damaged interface to stop further ingress, leakage, or separation.</t>
  </si>
  <si>
    <t>Dynamic catechol/metal, covalent tissue bonding, reversible adhesive interfaces</t>
  </si>
  <si>
    <t>Adhesive hydrogel/coating/interface that closes or seals a damaged boundary before secondary damage propagates.</t>
  </si>
  <si>
    <t>Water, pH, contact, local chemistry</t>
  </si>
  <si>
    <t>Rapid seal / adhesion</t>
  </si>
  <si>
    <t>Cells/organisms storing and releasing repair resources</t>
  </si>
  <si>
    <t>Store healing agents locally; damage ruptures a reservoir and releases material exactly where needed.</t>
  </si>
  <si>
    <t>Microcapsules, hollow fibers, sacrificial reservoirs</t>
  </si>
  <si>
    <t>Embed microcapsules/reservoirs that rupture on crack formation and release healing chemistry locally.</t>
  </si>
  <si>
    <t>Crack rupture / mechanical damage</t>
  </si>
  <si>
    <t>Blood vessels, plant vasculature</t>
  </si>
  <si>
    <t>Use connected channels to transport and replenish healing agents so repair can occur repeatedly and over larger volumes.</t>
  </si>
  <si>
    <t>Microvascular networks, multi-channel delivery, replenishable vascules</t>
  </si>
  <si>
    <t>Build refillable microchannel networks that deliver repair agents repeatedly to damaged zones.</t>
  </si>
  <si>
    <t>Damage-induced flow, pressure, pumping</t>
  </si>
  <si>
    <t>Vascular transport</t>
  </si>
  <si>
    <t>Bone, shell formation, microbial biomineralization</t>
  </si>
  <si>
    <t>Generate new solid material in situ to fill defects and restore barrier or load-bearing function.</t>
  </si>
  <si>
    <t>Bacteria-induced CaCO3, mineral precipitation, regenerative matrices</t>
  </si>
  <si>
    <t>Generate new mineral/solid phase in situ through microbes, ions, or precipitation rather than merely gluing cracks.</t>
  </si>
  <si>
    <t>Moisture, nutrients, microbial metabolism</t>
  </si>
  <si>
    <t>Biomineralize / regrow</t>
  </si>
  <si>
    <t>Protein networks, mussel catechol chemistry, squid ring teeth</t>
  </si>
  <si>
    <t>Use reversible bonds that break under damage and re-form afterward, enabling repeatable repair.</t>
  </si>
  <si>
    <t>H-bonds, metal-ligand bonds, boronate esters, imines, dynamic covalent networks</t>
  </si>
  <si>
    <t>Use reversible covalent, hydrogen-bond, ionic, metal–ligand, or supramolecular bonds that re-form after damage.</t>
  </si>
  <si>
    <t>Ambient contact, heat, pH, water, ions</t>
  </si>
  <si>
    <t>Dynamic rebonding</t>
  </si>
  <si>
    <t>Mussel byssus, bone, nacre, tough biological tissues</t>
  </si>
  <si>
    <t>Allow selected weaker bonds/domains to fail first, dissipate energy, then reconnect while the main structure survives.</t>
  </si>
  <si>
    <t>Hierarchical weak/strong bonds, metal-catechol, multiple H-bond domains</t>
  </si>
  <si>
    <t>Place weaker reversible bonds ahead of the load-bearing network so they dissipate energy, then recover.</t>
  </si>
  <si>
    <t>Mechanical loading followed by rebonding</t>
  </si>
  <si>
    <t>Sacrificial-bond recovery</t>
  </si>
  <si>
    <t>Nacre, enamel, bone, vascular smooth muscle, squid ring teeth</t>
  </si>
  <si>
    <t>Control damage path across scales; use hard-soft hierarchy, nanoconfinement, and interfaces to blunt/deflect cracks while retaining mobility for healing.</t>
  </si>
  <si>
    <t>Brick-and-mortar architectures, aligned platelets/nanowires, confined dynamic phases, core-shell inclusions</t>
  </si>
  <si>
    <t>Use hard–soft hierarchy, aligned reinforcement, interfaces or nanoconfinement to arrest cracks while preserving local mobility.</t>
  </si>
  <si>
    <t>Heat, local mobility, deformation</t>
  </si>
  <si>
    <t>Skin, mechanoreceptors, plant ion transport</t>
  </si>
  <si>
    <t>Couple damage detection with a visible/electrical/mechanical signal and activate or monitor repair.</t>
  </si>
  <si>
    <t>Mechanochromism, ion transport, conductive pathways, damage-responsive chemistry</t>
  </si>
  <si>
    <t>Couple damage detection to optical/electrical/mechanical signaling and, ideally, activation of the repair pathway.</t>
  </si>
  <si>
    <t>Stress, strain, solvent, pressure, electrical/NIR</t>
  </si>
  <si>
    <t>Sense → signal → repair</t>
  </si>
  <si>
    <t>Skin wound healing, embryonic wound closure</t>
  </si>
  <si>
    <t>Sequence different repair functions over time: fast stabilization first, slower structural restoration later.</t>
  </si>
  <si>
    <t>Fast extrinsic + slow intrinsic repair; time-gradient chemistry</t>
  </si>
  <si>
    <t>Assign different repair functions to different time scales: rapid stabilization first, slower reconstruction afterward.</t>
  </si>
  <si>
    <t>Time, local chemistry, temperature</t>
  </si>
  <si>
    <t>Sea cucumber dermis, living tissues, regenerative systems</t>
  </si>
  <si>
    <t>Adapt stiffness/function to the environment, then remodel or regenerate rather than merely close a crack.</t>
  </si>
  <si>
    <t>Stimuli-responsive networks, living materials, regenerative hydrogels</t>
  </si>
  <si>
    <t>Allow stiffness, architecture or biological activity to adapt over time and rebuild function rather than simply close a defect.</t>
  </si>
  <si>
    <t>Water, ionic environment, biological activity, external stimuli</t>
  </si>
  <si>
    <t>Adaptive / living repair</t>
  </si>
  <si>
    <t>Cross-cutting dimensions for a Nature Intelligence self-healing reasoning engine</t>
  </si>
  <si>
    <t>Possible values</t>
  </si>
  <si>
    <t>Why it matters</t>
  </si>
  <si>
    <t>Example biological logic</t>
  </si>
  <si>
    <t>Damage • water • pH • heat • light/NIR • electrical • enzymatic • microbial • spontaneous</t>
  </si>
  <si>
    <t>Defines what initiates repair and whether external energy is required.</t>
  </si>
  <si>
    <t>Wounds activate coagulation; plants respond to moisture/ionic changes.</t>
  </si>
  <si>
    <t>Local • embedded capsule • distributed network • external • living</t>
  </si>
  <si>
    <t>Determines how repair resources are stored and replenished.</t>
  </si>
  <si>
    <t>Cells store factors locally; vascular systems transport resources.</t>
  </si>
  <si>
    <t>Repair scale</t>
  </si>
  <si>
    <t>Molecular • interface • microcrack • macrocrack • tissue/structure</t>
  </si>
  <si>
    <t>Prevents choosing a mechanism that operates at the wrong damage scale.</t>
  </si>
  <si>
    <t>Proteins rebind molecularly while bone remodels across larger volumes.</t>
  </si>
  <si>
    <t>Single-shot • multiple-cycle • continuous</t>
  </si>
  <si>
    <t>Separates one-time emergency repair from durable regenerative capability.</t>
  </si>
  <si>
    <t>Capsules are often one-shot; vascular/living systems can replenish.</t>
  </si>
  <si>
    <t>Autonomy</t>
  </si>
  <si>
    <t>Autonomous • stimulus-assisted • externally replenished</t>
  </si>
  <si>
    <t>Controls system complexity, energy demand and maintenance burden.</t>
  </si>
  <si>
    <t>Skin heals autonomously; some biological processes depend on external nutrients.</t>
  </si>
  <si>
    <t>Immediate • staged • delayed • slow remodeling</t>
  </si>
  <si>
    <t>Allows repair architecture to optimize speed versus completeness.</t>
  </si>
  <si>
    <t>Hemostasis is rapid; tissue remodeling is slower.</t>
  </si>
  <si>
    <t>Feedback</t>
  </si>
  <si>
    <t>None • visual • electrical • mechanical • chemical</t>
  </si>
  <si>
    <t>Enables the material/system to report damage and repair status.</t>
  </si>
  <si>
    <t>Inflammatory signaling and mechanosensing provide feedback.</t>
  </si>
  <si>
    <t>Function restored</t>
  </si>
  <si>
    <t>Mechanical • barrier • electrical • adhesion • actuation • biological</t>
  </si>
  <si>
    <t>Defines what 'healed' actually means in system performance terms.</t>
  </si>
  <si>
    <t>Different tissues prioritize barrier, load bearing, signaling or motion.</t>
  </si>
  <si>
    <t>Mapping of the existing 60-paper evidence base into the Nature Repair Ontology</t>
  </si>
  <si>
    <t>This is a taxonomy mapping layer: it preserves the original paper metadata while assigning ontology strategy IDs. It does not replace paper-level mechanism extraction.</t>
  </si>
  <si>
    <t>Ontology primary</t>
  </si>
  <si>
    <t>Ontology secondary</t>
  </si>
  <si>
    <t>Repair phase</t>
  </si>
  <si>
    <t>Validated source</t>
  </si>
  <si>
    <t>0 Prevent / 2 Stabilize</t>
  </si>
  <si>
    <t>3 Mobilize / 4 Reconstruct</t>
  </si>
  <si>
    <t>2–5 staged</t>
  </si>
  <si>
    <t>1 Detect / 5 Verify</t>
  </si>
  <si>
    <t>2 Stabilize / 4 Reconstruct</t>
  </si>
  <si>
    <t>Nature Repair Ontology — Strategy Definitions and Transfer Rules</t>
  </si>
  <si>
    <t>Each strategy is a reusable engineering-neutral repair pattern. Biological models are evidence anchors; constraints and failure modes are first-class so the engine can reject unsuitable analogies.</t>
  </si>
  <si>
    <t>Strategy ID</t>
  </si>
  <si>
    <t>Repair phase(s)</t>
  </si>
  <si>
    <t>Canonical / extended primitive</t>
  </si>
  <si>
    <t>Representative biological model</t>
  </si>
  <si>
    <t>Natural sequence</t>
  </si>
  <si>
    <t>Trigger / sensor</t>
  </si>
  <si>
    <t>Immediate response</t>
  </si>
  <si>
    <t>Resource / repair material</t>
  </si>
  <si>
    <t>Transport / mobilization</t>
  </si>
  <si>
    <t>Reconstruction mode</t>
  </si>
  <si>
    <t>Spatial scale</t>
  </si>
  <si>
    <t>Function(s) restored</t>
  </si>
  <si>
    <t>Engineering-neutral design rule</t>
  </si>
  <si>
    <t>Suitable engineering conditions</t>
  </si>
  <si>
    <t>Main trade-off</t>
  </si>
  <si>
    <t>Common failure mode</t>
  </si>
  <si>
    <t>Best complementary strategies</t>
  </si>
  <si>
    <t>Evidence anchors</t>
  </si>
  <si>
    <t>Confidence</t>
  </si>
  <si>
    <t>Canonical: protective surface</t>
  </si>
  <si>
    <t>Tree bark; arthropod exoskeleton; skin; functional plant surfaces</t>
  </si>
  <si>
    <t>Keep routine environmental or mechanical damage away from vulnerable tissue.</t>
  </si>
  <si>
    <t>Build tough/functional outer layer → absorb/repel exposure → renew from beneath if needed.</t>
  </si>
  <si>
    <t>Exposure / contact; often passive</t>
  </si>
  <si>
    <t>Damage is prevented or shifted to expendable layer</t>
  </si>
  <si>
    <t>Protective material / surface chemistry</t>
  </si>
  <si>
    <t>Surface / outer layer</t>
  </si>
  <si>
    <t>None or replenishment from below</t>
  </si>
  <si>
    <t>Barrier formation; repellency; sacrificial absorption</t>
  </si>
  <si>
    <t>Surface → component</t>
  </si>
  <si>
    <t>Continuous</t>
  </si>
  <si>
    <t>Barrier integrity; environmental protection</t>
  </si>
  <si>
    <t>Put a robust, task-specific layer ahead of vulnerable functions; design that layer to be renewable or sacrificial when possible.</t>
  </si>
  <si>
    <t>High exposure frequency; surface-dominated failure; contamination/corrosion/fouling risk</t>
  </si>
  <si>
    <t>Added thickness/mass can impede transport or flexibility</t>
  </si>
  <si>
    <t>Barrier cracks without renewal; hidden sub-surface damage</t>
  </si>
  <si>
    <t>NR07, NR10, NR15</t>
  </si>
  <si>
    <t>Cremaldi &amp; Bhushan 2018; Youngblood &amp; Sottos 2008</t>
  </si>
  <si>
    <t>High</t>
  </si>
  <si>
    <t>Extended: boundary formation / damage containment</t>
  </si>
  <si>
    <t>Trees — compartmentalization of decay (CODIT); immune barriers</t>
  </si>
  <si>
    <t>Prevent a local defect, infection, or degradation zone from spreading through the whole system.</t>
  </si>
  <si>
    <t>Detect local damage → form physical + chemical walls → sacrifice/isolate damaged region → continue operation elsewhere.</t>
  </si>
  <si>
    <t>Local damage / disease chemistry</t>
  </si>
  <si>
    <t>Propagation pathway is cut</t>
  </si>
  <si>
    <t>Boundary-forming material / chemistry</t>
  </si>
  <si>
    <t>At perimeter of damaged zone</t>
  </si>
  <si>
    <t>Local secretion / growth</t>
  </si>
  <si>
    <t>Isolation rather than restoration</t>
  </si>
  <si>
    <t>Local zone → component</t>
  </si>
  <si>
    <t>Fast boundary formation then persistent</t>
  </si>
  <si>
    <t>Repeatable in new zones</t>
  </si>
  <si>
    <t>System-level continuity / integrity</t>
  </si>
  <si>
    <t>If full repair is expensive or risky, isolate the failing zone and preserve the rest of the system.</t>
  </si>
  <si>
    <t>Distributed systems; non-critical local loss acceptable; propagation risk high</t>
  </si>
  <si>
    <t>Local capacity is sacrificed</t>
  </si>
  <si>
    <t>Boundary is incomplete; damage bypasses compartment</t>
  </si>
  <si>
    <t>NR01, NR03, NR16</t>
  </si>
  <si>
    <t>Cremaldi &amp; Bhushan 2018 — CODIT</t>
  </si>
  <si>
    <t>Canonical: clotting / aggregation</t>
  </si>
  <si>
    <t>Blood clotting; invertebrate hemolymph clotting; plant wound secretions</t>
  </si>
  <si>
    <t>Stop fast loss of fluid or ingress of harmful agents immediately after breach.</t>
  </si>
  <si>
    <t>Breach → local aggregation/precipitation → plug forms → flow/ingress drops → slower repair follows.</t>
  </si>
  <si>
    <t>Breach / flow / exposed chemistry</t>
  </si>
  <si>
    <t>Wound is sealed rapidly</t>
  </si>
  <si>
    <t>Platelets/proteins/exudate or precipitating material</t>
  </si>
  <si>
    <t>Circulating or locally stored</t>
  </si>
  <si>
    <t>Flow + aggregation / capillarity</t>
  </si>
  <si>
    <t>Plug / precipitate / temporary barrier</t>
  </si>
  <si>
    <t>Interface / crack</t>
  </si>
  <si>
    <t>Seconds–minutes biologically; application-dependent</t>
  </si>
  <si>
    <t>Finite unless replenished</t>
  </si>
  <si>
    <t>Barrier / watertightness</t>
  </si>
  <si>
    <t>Prioritize a fast sealing mechanism that stabilizes the defect even if it does not yet restore load-bearing performance.</t>
  </si>
  <si>
    <t>Leakage, ingress, corrosion exposure, puncture-like damage</t>
  </si>
  <si>
    <t>Fast closure can obstruct later reconstruction or provide little mechanical strength</t>
  </si>
  <si>
    <t>Surface closure mistaken for full-depth healing</t>
  </si>
  <si>
    <t>NR06, NR11, NR16</t>
  </si>
  <si>
    <t>Cremaldi &amp; Bhushan 2018; concrete sealing literature</t>
  </si>
  <si>
    <t>Extended: wet adhesion / interfacial rebonding</t>
  </si>
  <si>
    <t>Mussel byssus / adhesive plaque; tissue interfaces</t>
  </si>
  <si>
    <t>Reconnect separated interfaces under wet, dynamic, or contaminated conditions.</t>
  </si>
  <si>
    <t>Bring faces into contact → form high-affinity interfacial bonds → dissipate load → reversible bonds reform after disturbance.</t>
  </si>
  <si>
    <t>Contact; pH; water; ions</t>
  </si>
  <si>
    <t>Interface reconnects</t>
  </si>
  <si>
    <t>Catechol-like groups / dynamic bonds</t>
  </si>
  <si>
    <t>At damaged interface</t>
  </si>
  <si>
    <t>Diffusion / molecular contact</t>
  </si>
  <si>
    <t>Adhesive bonding</t>
  </si>
  <si>
    <t>Molecular → interface</t>
  </si>
  <si>
    <t>Minutes–hours</t>
  </si>
  <si>
    <t>Multiple if dynamic</t>
  </si>
  <si>
    <t>Adhesion; barrier; sometimes mechanics</t>
  </si>
  <si>
    <t>Design the damaged interface itself as an active repair zone using reversible, water-compatible, high-affinity interactions.</t>
  </si>
  <si>
    <t>Delamination, wet adhesion, coatings, tissue interfaces</t>
  </si>
  <si>
    <t>High bond density can reduce chain mobility</t>
  </si>
  <si>
    <t>Faces do not re-contact; fouling blocks bonding</t>
  </si>
  <si>
    <t>NR08, NR09, NR15</t>
  </si>
  <si>
    <t>Mussel-inspired papers in 60-paper set</t>
  </si>
  <si>
    <t>Canonical: vascular cells / capsules</t>
  </si>
  <si>
    <t>Weeping fig latex cells; secretory cells; biological vesicle-like storage</t>
  </si>
  <si>
    <t>Keep reactive repair resources stable until damage occurs, then release exactly at the wound.</t>
  </si>
  <si>
    <t>Store agent → damage ruptures container / changes chemistry → agent is released → flows into defect → reacts/solidifies.</t>
  </si>
  <si>
    <t>Crack rupture; pH; chloride; heat; moisture; electromagnetic trigger</t>
  </si>
  <si>
    <t>Localized agent release</t>
  </si>
  <si>
    <t>Healing monomer/resin/mineral precursor/cells</t>
  </si>
  <si>
    <t>Distributed capsules / granules</t>
  </si>
  <si>
    <t>Capillarity / local flow</t>
  </si>
  <si>
    <t>Polymerization / precipitation / swelling</t>
  </si>
  <si>
    <t>Microcrack → local macrocrack</t>
  </si>
  <si>
    <t>Fast to hours/days</t>
  </si>
  <si>
    <t>Usually single-shot at a location</t>
  </si>
  <si>
    <t>Barrier + mechanics depending agent</t>
  </si>
  <si>
    <t>Separate reactive chemistry from the host until a damage-specific trigger releases it.</t>
  </si>
  <si>
    <t>Sparse unpredictable cracks; manufacturing can tolerate inclusions</t>
  </si>
  <si>
    <t>Finite payload; capsules change host mechanics</t>
  </si>
  <si>
    <t>Premature rupture; no capsule intersects crack; payload exhausted</t>
  </si>
  <si>
    <t>NR03, NR11, NR16</t>
  </si>
  <si>
    <t>White et al. 2001 lineage; van der Bergh thesis capsule classification</t>
  </si>
  <si>
    <t>Canonical: vascular networks</t>
  </si>
  <si>
    <t>Blood vessels; plant vasculature; refillable biological transport</t>
  </si>
  <si>
    <t>Deliver cells, nutrients, enzymes, or repair chemistry over distance and repeatedly.</t>
  </si>
  <si>
    <t>Damage creates demand → connected network supplies agent → flow reaches defect → repair occurs → reservoir can refill network.</t>
  </si>
  <si>
    <t>Damage-induced pressure/capillarity or active pumping</t>
  </si>
  <si>
    <t>Repair resources reach wound</t>
  </si>
  <si>
    <t>Fluid healing agent / nutrients / cells</t>
  </si>
  <si>
    <t>Distributed channel network + reservoir</t>
  </si>
  <si>
    <t>Flow through 1D/2D/3D network</t>
  </si>
  <si>
    <t>Chemical repair / deposition / replenishment</t>
  </si>
  <si>
    <t>Microcrack → component</t>
  </si>
  <si>
    <t>Minutes–days</t>
  </si>
  <si>
    <t>Multi-cycle; potentially continuous if externally replenished</t>
  </si>
  <si>
    <t>Barrier; mechanics; function-specific</t>
  </si>
  <si>
    <t>Use a connected distribution network when damage is recurrent, internal, or requires more material than a local reservoir can hold.</t>
  </si>
  <si>
    <t>Repeated same-zone damage; large components; inaccessible internal cracks</t>
  </si>
  <si>
    <t>Network volume and complexity; network itself can fail</t>
  </si>
  <si>
    <t>Channel blockage/cut; insufficient pressure; no path to damage</t>
  </si>
  <si>
    <t>NR05, NR11, NR15</t>
  </si>
  <si>
    <t>Cremaldi &amp; Bhushan 2018; microvascular self-healing literature</t>
  </si>
  <si>
    <t>Canonical: layering + replenishable coatings; extended: abscission</t>
  </si>
  <si>
    <t>Snake molting; tree bark; lotus wax; plant abscission</t>
  </si>
  <si>
    <t>Maintain a healthy exposed surface despite wear, fouling, or local damage.</t>
  </si>
  <si>
    <t>Grow/replenish new layer from within → protect next layer → optionally weaken boundary → shed damaged/old material.</t>
  </si>
  <si>
    <t>Wear; growth; programmed biochemical signal</t>
  </si>
  <si>
    <t>Fresh surface is exposed</t>
  </si>
  <si>
    <t>New layer / wax / secreted material</t>
  </si>
  <si>
    <t>Produced beneath or at surface</t>
  </si>
  <si>
    <t>Growth / secretion</t>
  </si>
  <si>
    <t>Replacement rather than patching</t>
  </si>
  <si>
    <t>Surface</t>
  </si>
  <si>
    <t>Periodic / continuous</t>
  </si>
  <si>
    <t>Continuous with resource supply</t>
  </si>
  <si>
    <t>Surface protection / cleanliness</t>
  </si>
  <si>
    <t>When the outer layer is expendable, replace it instead of repeatedly repairing the same degraded material.</t>
  </si>
  <si>
    <t>High-cycle surface wear; coatings; self-cleaning; replaceable skins</t>
  </si>
  <si>
    <t>Consumes material and creates waste</t>
  </si>
  <si>
    <t>Replacement rate too slow; shedding damages substrate</t>
  </si>
  <si>
    <t>NR01, NR02, NR16</t>
  </si>
  <si>
    <t>Cremaldi &amp; Bhushan 2018 — layering, lotus, abscission</t>
  </si>
  <si>
    <t>Extended: reversible molecular network</t>
  </si>
  <si>
    <t>Protein networks; extracellular-matrix-like hydrogels; mussel-inspired coordination</t>
  </si>
  <si>
    <t>Restore continuity after bonds break while preserving repeated use.</t>
  </si>
  <si>
    <t>Damage breaks reversible bonds → chain/segment mobility enables recontact → bonds exchange/reform → network continuity returns.</t>
  </si>
  <si>
    <t>Broken network reconnects</t>
  </si>
  <si>
    <t>Intrinsic dynamic bonds</t>
  </si>
  <si>
    <t>Distributed throughout matrix/interface</t>
  </si>
  <si>
    <t>Molecular diffusion / exchange</t>
  </si>
  <si>
    <t>Dynamic covalent or supramolecular rebonding</t>
  </si>
  <si>
    <t>Seconds–days</t>
  </si>
  <si>
    <t>Multi-cycle</t>
  </si>
  <si>
    <t>Mechanical / electrical / adhesion depending network</t>
  </si>
  <si>
    <t>Build reversible bonds into the material so the same chemistry can repeatedly disconnect and reconnect.</t>
  </si>
  <si>
    <t>Small gaps; repeat damage; soft/semirigid polymers; hydrogels</t>
  </si>
  <si>
    <t>Strength–mobility trade-off</t>
  </si>
  <si>
    <t>Surfaces too far apart; low chain mobility; wrong activation conditions</t>
  </si>
  <si>
    <t>NR09, NR10, NR14, NR15</t>
  </si>
  <si>
    <t>2026 polymer/hydrogel reviews; enamel paper</t>
  </si>
  <si>
    <t>Extended: sacrificial bond network</t>
  </si>
  <si>
    <t>Mussel byssus; bone; nacre; tough biological tissues</t>
  </si>
  <si>
    <t>Prevent catastrophic fracture by consuming energy in reversible secondary interactions.</t>
  </si>
  <si>
    <t>Load rises → weaker bonds/domain interfaces fail first → energy dissipates → primary backbone survives → weak interactions reform.</t>
  </si>
  <si>
    <t>Mechanical load/unload</t>
  </si>
  <si>
    <t>Crack driving force is reduced</t>
  </si>
  <si>
    <t>Weak reversible interactions</t>
  </si>
  <si>
    <t>Distributed hierarchy</t>
  </si>
  <si>
    <t>No long-range transport</t>
  </si>
  <si>
    <t>Reassociation of sacrificial network</t>
  </si>
  <si>
    <t>Molecular → mesoscale</t>
  </si>
  <si>
    <t>Immediate dissipation; recovery minutes–hours</t>
  </si>
  <si>
    <t>Multi-cycle if bonds recover</t>
  </si>
  <si>
    <t>Toughness / fatigue resistance / mechanics</t>
  </si>
  <si>
    <t>Give the structure reversible 'fuses' that fail before the main load path and can reset afterward.</t>
  </si>
  <si>
    <t>Impact, fatigue, stretchable structures</t>
  </si>
  <si>
    <t>Hysteresis / residual strain / slower recovery</t>
  </si>
  <si>
    <t>Sacrificial network fails irreversibly or does not reform</t>
  </si>
  <si>
    <t>NR08, NR10, NR14</t>
  </si>
  <si>
    <t>Mussel/byssus and tough hydrogel literature</t>
  </si>
  <si>
    <t>Extended: hierarchy / crack deflection</t>
  </si>
  <si>
    <t>Tooth enamel; nacre; bone; fibrous biological composites</t>
  </si>
  <si>
    <t>Combine stiffness/strength with crack resistance and local repairability.</t>
  </si>
  <si>
    <t>Aligned or layered hard phase carries load → interfaces redistribute stress/deflect crack → soft/dynamic phase dissipates and heals.</t>
  </si>
  <si>
    <t>Mechanical stress / crack initiation</t>
  </si>
  <si>
    <t>Propagation is slowed or redirected</t>
  </si>
  <si>
    <t>Hard reinforcement + compliant/dynamic interphase</t>
  </si>
  <si>
    <t>Distributed multiscale architecture</t>
  </si>
  <si>
    <t>Stress redistribution, not material transport</t>
  </si>
  <si>
    <t>Crack deflection + local repair</t>
  </si>
  <si>
    <t>Nano → component</t>
  </si>
  <si>
    <t>Immediate crack control + later healing</t>
  </si>
  <si>
    <t>Structural architecture persists</t>
  </si>
  <si>
    <t>Strength, toughness, damage tolerance</t>
  </si>
  <si>
    <t>Separate load bearing and healing across scales so strong domains do not eliminate the mobility needed for repair.</t>
  </si>
  <si>
    <t>Load-bearing composites where conventional self-healing is too soft</t>
  </si>
  <si>
    <t>More reinforcement can suppress healing mobility</t>
  </si>
  <si>
    <t>Interface delamination or fiber failure cannot be restored by matrix healing alone</t>
  </si>
  <si>
    <t>NR08, NR09, NR16</t>
  </si>
  <si>
    <t>2026 enamel paper; 2026 composites review</t>
  </si>
  <si>
    <t>Extended: biomineralization / deposition</t>
  </si>
  <si>
    <t>Bone/shell formation; bacteria, fungi, algae</t>
  </si>
  <si>
    <t>Replace lost volume with new solid material under ambient conditions.</t>
  </si>
  <si>
    <t>Damage exposes pathway + water/nutrients/ions → organism/metabolism or chemistry creates carbonate/mineral → nucleation → growth fills crack.</t>
  </si>
  <si>
    <t>Moisture; nutrients; ions; pH; metabolism</t>
  </si>
  <si>
    <t>New material nucleates in defect</t>
  </si>
  <si>
    <t>Mineral ions + metabolic products</t>
  </si>
  <si>
    <t>Ambient + embedded/external biological agent</t>
  </si>
  <si>
    <t>Diffusion / capillarity / growth</t>
  </si>
  <si>
    <t>Mineral precipitation / growth</t>
  </si>
  <si>
    <t>Surface → crack volume</t>
  </si>
  <si>
    <t>Days–weeks</t>
  </si>
  <si>
    <t>Multi-cycle while viable/resources accessible</t>
  </si>
  <si>
    <t>Barrier; durability; sometimes mechanical recovery</t>
  </si>
  <si>
    <t>Use the damaged void as a reactor: bring precursors to it and grow a compatible solid phase in situ.</t>
  </si>
  <si>
    <t>Porous mineral materials; wet environments; inaccessible microcracks if agents are embedded</t>
  </si>
  <si>
    <t>Strong dependence on environmental window and access</t>
  </si>
  <si>
    <t>Only crack mouth heals; cells die; nutrients depleted; by-products undesirable</t>
  </si>
  <si>
    <t>NR03, NR05, NR06, NR16</t>
  </si>
  <si>
    <t>van der Bergh thesis; B. pseudomycoides study; concrete reviews</t>
  </si>
  <si>
    <t>High for bacteria; Emerging for fungi/algae</t>
  </si>
  <si>
    <t>Extended: cellular growth / matrix turnover</t>
  </si>
  <si>
    <t>Skin; bone; tendon; nerve-supporting regenerative tissue</t>
  </si>
  <si>
    <t>Recover organized function after immediate closure, not just fill a void.</t>
  </si>
  <si>
    <t>Stabilize → recruit/activate cells → remove damaged material → deposit/remodel matrix → adapt to load/environment.</t>
  </si>
  <si>
    <t>Biological signals; load; inflammation; biochemical cues</t>
  </si>
  <si>
    <t>Tissue is progressively rebuilt</t>
  </si>
  <si>
    <t>Cells + metabolic resources + matrix components</t>
  </si>
  <si>
    <t>Living tissue / living material</t>
  </si>
  <si>
    <t>Vascular/cellular transport</t>
  </si>
  <si>
    <t>Growth, degradation, replacement, reorganization</t>
  </si>
  <si>
    <t>Cell → tissue/component</t>
  </si>
  <si>
    <t>Days–months</t>
  </si>
  <si>
    <t>Continuous if living system healthy</t>
  </si>
  <si>
    <t>Biological + mechanical + signaling</t>
  </si>
  <si>
    <t>Treat repair as ongoing remodeling with removal and replacement, not a one-time crack closure event.</t>
  </si>
  <si>
    <t>Biohybrid/living materials; regenerative interfaces; long-service adaptive systems</t>
  </si>
  <si>
    <t>Slow and resource-intensive</t>
  </si>
  <si>
    <t>Uncontrolled growth; no vascular access; hostile environment</t>
  </si>
  <si>
    <t>NR06, NR15, NR16</t>
  </si>
  <si>
    <t>Regenerative hydrogel papers; biological wound-healing logic</t>
  </si>
  <si>
    <t>Medium–High</t>
  </si>
  <si>
    <t>Extended: phase transfer / recycling; fibrinolysis analogue</t>
  </si>
  <si>
    <t>Fibrinolysis in blood vessels (engineering analogue in Li–S electrolyte)</t>
  </si>
  <si>
    <t>Remove obstructive deposits and return material to a mobile pool so it can re-enter the functional cycle.</t>
  </si>
  <si>
    <t>Solid/stranded material → solubilize → redistribute uniformly → redeposit/re-react at useful sites.</t>
  </si>
  <si>
    <t>Chemical potential / electrochemical cycling / solubility</t>
  </si>
  <si>
    <t>Blocked or inactive material becomes mobile</t>
  </si>
  <si>
    <t>Existing system material</t>
  </si>
  <si>
    <t>Distributed working fluid/electrolyte</t>
  </si>
  <si>
    <t>Dissolution + diffusion / transport</t>
  </si>
  <si>
    <t>Phase transfer / recrystallization / reincorporation</t>
  </si>
  <si>
    <t>Micro → device</t>
  </si>
  <si>
    <t>Cycle-by-cycle</t>
  </si>
  <si>
    <t>Electrochemical capacity / transport</t>
  </si>
  <si>
    <t>When failure is caused by material becoming trapped in the wrong phase/location, remobilize and recycle it instead of adding new material.</t>
  </si>
  <si>
    <t>Batteries, deposition/fouling systems, crystallization-driven failure</t>
  </si>
  <si>
    <t>Mobility can create unwanted shuttle/leakage</t>
  </si>
  <si>
    <t>Redistributed material migrates away from useful zone</t>
  </si>
  <si>
    <t>NR06, NR14, NR15</t>
  </si>
  <si>
    <t>Choi &amp; Wang 2017 Li–S self-healing electrolyte preview</t>
  </si>
  <si>
    <t>Canonical: reversible state change; extended: rate-sensitive dynamic bonding</t>
  </si>
  <si>
    <t>Muscle; chameleon nanocrystal spacing; bound-water networks; sea-cucumber-like adaptive tissue</t>
  </si>
  <si>
    <t>Change mechanical/transport state when conditions change, then recover original state.</t>
  </si>
  <si>
    <t>Sense load/environment → reversible bond/state change → alter stiffness/geometry/transport → unload/normalize → restore.</t>
  </si>
  <si>
    <t>Strain rate; load; ions; water; temperature</t>
  </si>
  <si>
    <t>Material changes state to manage disturbance</t>
  </si>
  <si>
    <t>Intrinsic reversible interactions</t>
  </si>
  <si>
    <t>Distributed</t>
  </si>
  <si>
    <t>No transport required or local molecular rearrangement</t>
  </si>
  <si>
    <t>Reversible reconfiguration</t>
  </si>
  <si>
    <t>Molecular → component</t>
  </si>
  <si>
    <t>Milliseconds–hours</t>
  </si>
  <si>
    <t>Mechanical response / impact protection / actuation</t>
  </si>
  <si>
    <t>Design kinetics so the material is compliant when useful and temporarily stiff/locked when disturbance rate exceeds a threshold.</t>
  </si>
  <si>
    <t>Impact protection; adaptive stiffness; variable environment</t>
  </si>
  <si>
    <t>Narrow operating window / kinetic mismatch</t>
  </si>
  <si>
    <t>Response too slow or remains locked</t>
  </si>
  <si>
    <t>Cremaldi &amp; Bhushan 2018 muscle; Jin et al. 2026 bound-water polymer</t>
  </si>
  <si>
    <t>Canonical: cellular response; extended: self-reporting materials</t>
  </si>
  <si>
    <t>Immune response; dermis; plant recognition; sensing hydrogels</t>
  </si>
  <si>
    <t>Detect damage early, trigger a local action, and verify functional recovery.</t>
  </si>
  <si>
    <t>Damage changes local signal → threshold crossed → response pathway activates → repair proceeds → signal returns or records residual damage.</t>
  </si>
  <si>
    <t>Mechanical/chemical/electrical/optical change</t>
  </si>
  <si>
    <t>Signal localizes severity and can activate response</t>
  </si>
  <si>
    <t>Repair resources depend on paired mechanism</t>
  </si>
  <si>
    <t>Sensor distributed or localized</t>
  </si>
  <si>
    <t>Signal propagation / local chemistry</t>
  </si>
  <si>
    <t>Depends on paired strategy</t>
  </si>
  <si>
    <t>Molecular → system</t>
  </si>
  <si>
    <t>Immediate sensing; repair later</t>
  </si>
  <si>
    <t>Multi-cycle if sensor recovers</t>
  </si>
  <si>
    <t>Sensing + paired functional recovery</t>
  </si>
  <si>
    <t>Link diagnosis and repair in the same architecture, and require the sensing pathway itself to recover after healing.</t>
  </si>
  <si>
    <t>Remote assets; electronics; smart coatings; safety-critical structures</t>
  </si>
  <si>
    <t>Sensor response can diverge from structural recovery</t>
  </si>
  <si>
    <t>Signal heals while structure remains weak, or vice versa</t>
  </si>
  <si>
    <t>NR03, NR06, NR08, NR16</t>
  </si>
  <si>
    <t>Cremaldi &amp; Bhushan cellular response; 2026 sensors/hydrogels review</t>
  </si>
  <si>
    <t>Extended: sequential response / homeostasis</t>
  </si>
  <si>
    <t>Hemostasis → inflammation/proliferation → remodeling; plant multistage defense</t>
  </si>
  <si>
    <t>Optimize for both survival-speed and restoration-quality without forcing one mechanism to do both.</t>
  </si>
  <si>
    <t>Phase 1 contain/seal → Phase 2 mobilize/reconstruct → Phase 3 remodel/verify → terminate response.</t>
  </si>
  <si>
    <t>Damage plus changing time/local chemistry</t>
  </si>
  <si>
    <t>Fast stabilization first</t>
  </si>
  <si>
    <t>Multiple resources separated by time or layer</t>
  </si>
  <si>
    <t>Local + networked</t>
  </si>
  <si>
    <t>Sequential release / recruitment</t>
  </si>
  <si>
    <t>Hybrid multi-mechanism</t>
  </si>
  <si>
    <t>Interface → component</t>
  </si>
  <si>
    <t>Seconds to long remodeling</t>
  </si>
  <si>
    <t>Repeatability depends on resources</t>
  </si>
  <si>
    <t>Multiple functions in sequence</t>
  </si>
  <si>
    <t>Allocate different repair jobs to different timescales and coordinate handoff between them.</t>
  </si>
  <si>
    <t>Complex damage; corrosion protection; structural repair where speed and completeness conflict</t>
  </si>
  <si>
    <t>Coordination complexity</t>
  </si>
  <si>
    <t>Early seal prevents deeper agent penetration; late phase never activates</t>
  </si>
  <si>
    <t>NR02, NR03, NR06, NR08, NR11, NR15</t>
  </si>
  <si>
    <t>Cremaldi &amp; Bhushan 2018 homeostasis; 2026 time-gradient coating</t>
  </si>
  <si>
    <t>Biological Repair Primitives — the smallest reusable mechanisms beneath the strategies</t>
  </si>
  <si>
    <t>The first eight primitives are the canonical mechanisms identified by Cremaldi &amp; Bhushan (2018). The remaining primitives extend that framework using mechanisms repeatedly surfaced in the attached literature.</t>
  </si>
  <si>
    <t>Primitive ID</t>
  </si>
  <si>
    <t>Primitive</t>
  </si>
  <si>
    <t>Status</t>
  </si>
  <si>
    <t>Nature examples</t>
  </si>
  <si>
    <t>Core action</t>
  </si>
  <si>
    <t>Trigger / recognition</t>
  </si>
  <si>
    <t>Material / resource behavior</t>
  </si>
  <si>
    <t>Transport</t>
  </si>
  <si>
    <t>Spatial logic</t>
  </si>
  <si>
    <t>Temporal logic</t>
  </si>
  <si>
    <t>Ontology strategies</t>
  </si>
  <si>
    <t>Key limitation</t>
  </si>
  <si>
    <t>P01</t>
  </si>
  <si>
    <t>Reversible state change / muscle control</t>
  </si>
  <si>
    <t>Canonical 2018</t>
  </si>
  <si>
    <t>Muscle; chameleon skin nanocrystals</t>
  </si>
  <si>
    <t>Switch physical state reversibly using controlled energy input</t>
  </si>
  <si>
    <t>Neural/chemical control; load/environment in analogues</t>
  </si>
  <si>
    <t>Actin–myosin or reversible structural spacing</t>
  </si>
  <si>
    <t>Local</t>
  </si>
  <si>
    <t>Distributed actuator</t>
  </si>
  <si>
    <t>Fast and reversible</t>
  </si>
  <si>
    <t>Lifetime-scale cycles</t>
  </si>
  <si>
    <t>Use reversible state transitions instead of permanent repair when the disturbance itself is transient.</t>
  </si>
  <si>
    <t>Requires energy/control and reversible kinetics</t>
  </si>
  <si>
    <t>Cremaldi &amp; Bhushan 2018</t>
  </si>
  <si>
    <t>P02</t>
  </si>
  <si>
    <t>Vertebrate blood; invertebrate hemolymph</t>
  </si>
  <si>
    <t>Aggregate mobile material at breach to stop flow</t>
  </si>
  <si>
    <t>Damage + exposed wound chemistry</t>
  </si>
  <si>
    <t>Particles/cells/proteins aggregate</t>
  </si>
  <si>
    <t>Flow to breach</t>
  </si>
  <si>
    <t>Localized at leak</t>
  </si>
  <si>
    <t>Immediate</t>
  </si>
  <si>
    <t>Repeatable while circulating resources available</t>
  </si>
  <si>
    <t>Rapidly plug leakage first; restore structure later.</t>
  </si>
  <si>
    <t>NR03, NR16</t>
  </si>
  <si>
    <t>May seal without restoring strength</t>
  </si>
  <si>
    <t>P03</t>
  </si>
  <si>
    <t>Cellular response / signaling</t>
  </si>
  <si>
    <t>Immune response; fibroblast recruitment; plant recognition</t>
  </si>
  <si>
    <t>Use local biochemical signals to trigger specialized actions</t>
  </si>
  <si>
    <t>Foreign material / damage-associated signal</t>
  </si>
  <si>
    <t>Specialized cells secrete, attack, remove, or build</t>
  </si>
  <si>
    <t>Signal/recruitment networks</t>
  </si>
  <si>
    <t>Damage-localized, system-coordinated</t>
  </si>
  <si>
    <t>Multi-stage</t>
  </si>
  <si>
    <t>Separate detection, decision, and action; recruit the right function only where needed.</t>
  </si>
  <si>
    <t>NR15, NR16, NR12</t>
  </si>
  <si>
    <t>Control errors can over/under-react</t>
  </si>
  <si>
    <t>P04</t>
  </si>
  <si>
    <t>Layering / periodic renewal</t>
  </si>
  <si>
    <t>Snake skin; epidermis</t>
  </si>
  <si>
    <t>Build a replacement layer beneath the old one and shed periodically</t>
  </si>
  <si>
    <t>Growth / lifecycle</t>
  </si>
  <si>
    <t>New layer grows from within</t>
  </si>
  <si>
    <t>Growth from substrate</t>
  </si>
  <si>
    <t>Surface-normal</t>
  </si>
  <si>
    <t>Periodic</t>
  </si>
  <si>
    <t>Continuous over life</t>
  </si>
  <si>
    <t>Renew an exposed surface rather than repairing every defect individually.</t>
  </si>
  <si>
    <t>Material/energy cost of renewal</t>
  </si>
  <si>
    <t>P05</t>
  </si>
  <si>
    <t>Arthropod exoskeleton; tree bark</t>
  </si>
  <si>
    <t>Use a tough outer layer to absorb routine damage</t>
  </si>
  <si>
    <t>Passive exposure</t>
  </si>
  <si>
    <t>Hard/protective material</t>
  </si>
  <si>
    <t>None</t>
  </si>
  <si>
    <t>Outer boundary</t>
  </si>
  <si>
    <t>Persistent / renewed</t>
  </si>
  <si>
    <t>Move damage into a durable sacrificial boundary layer.</t>
  </si>
  <si>
    <t>NR01, NR10</t>
  </si>
  <si>
    <t>Can hide sub-surface damage</t>
  </si>
  <si>
    <t>P06</t>
  </si>
  <si>
    <t>Vascular networks / capsules</t>
  </si>
  <si>
    <t>Weeping fig latex cells; vascular tissues</t>
  </si>
  <si>
    <t>Store/separate reactive resources and deliver them after damage</t>
  </si>
  <si>
    <t>Rupture / pressure / chemical trigger</t>
  </si>
  <si>
    <t>Stored fluid/resource is released or transported</t>
  </si>
  <si>
    <t>Capsule release or connected flow</t>
  </si>
  <si>
    <t>Distributed reservoirs/channels</t>
  </si>
  <si>
    <t>On-demand</t>
  </si>
  <si>
    <t>Capsule single-shot; networks multi-cycle</t>
  </si>
  <si>
    <t>Decouple storage from structural material and localize chemistry at the wound.</t>
  </si>
  <si>
    <t>NR05, NR06</t>
  </si>
  <si>
    <t>Depletion / channel failure</t>
  </si>
  <si>
    <t>P07</t>
  </si>
  <si>
    <t>Exposure-induced closure / growth</t>
  </si>
  <si>
    <t>Plant wound closure/callus</t>
  </si>
  <si>
    <t>Exposure of internal tissue initiates swelling/division/hardening</t>
  </si>
  <si>
    <t>Exposure to air/environment after wound</t>
  </si>
  <si>
    <t>Cells expand, divide, mature, harden</t>
  </si>
  <si>
    <t>Local growth</t>
  </si>
  <si>
    <t>At exposed interface</t>
  </si>
  <si>
    <t>Delayed</t>
  </si>
  <si>
    <t>Repeatable with living tissue</t>
  </si>
  <si>
    <t>Use the newly exposed interface as the trigger and substrate for reconstruction.</t>
  </si>
  <si>
    <t>NR11, NR12</t>
  </si>
  <si>
    <t>Requires viable growth system</t>
  </si>
  <si>
    <t>P08</t>
  </si>
  <si>
    <t>Replenishable functional coating</t>
  </si>
  <si>
    <t>Lotus epicuticular wax</t>
  </si>
  <si>
    <t>Continuously secrete a functional surface chemistry/topography</t>
  </si>
  <si>
    <t>Surface wear / ongoing metabolism</t>
  </si>
  <si>
    <t>Wax/chemistry replenishes functionality</t>
  </si>
  <si>
    <t>Secretion from epidermis</t>
  </si>
  <si>
    <t>Make surface function renewable, not static.</t>
  </si>
  <si>
    <t>NR01, NR07</t>
  </si>
  <si>
    <t>Replenishment must keep pace with wear</t>
  </si>
  <si>
    <t>P09</t>
  </si>
  <si>
    <t>Ontology extension</t>
  </si>
  <si>
    <t>Trees — CODIT</t>
  </si>
  <si>
    <t>Seal damaged region away from healthy system</t>
  </si>
  <si>
    <t>Damage / infection signaling</t>
  </si>
  <si>
    <t>Physical + chemical wall formation</t>
  </si>
  <si>
    <t>Boundary around damage</t>
  </si>
  <si>
    <t>Rapid-to-persistent</t>
  </si>
  <si>
    <t>Repeatable in different zones</t>
  </si>
  <si>
    <t>Contain propagation when restoration is not worth the risk.</t>
  </si>
  <si>
    <t>Sacrifices local capacity</t>
  </si>
  <si>
    <t>Cremaldi &amp; Bhushan 2018 tree section</t>
  </si>
  <si>
    <t>P10</t>
  </si>
  <si>
    <t>Selective discard / abscission</t>
  </si>
  <si>
    <t>Leaves, fruit, damaged plant tissue</t>
  </si>
  <si>
    <t>Prepare safe boundary then deliberately weaken and detach expendable material</t>
  </si>
  <si>
    <t>Developmental/damage signal</t>
  </si>
  <si>
    <t>Enzymes degrade adhesion in separation zone</t>
  </si>
  <si>
    <t>Local biochemical delivery</t>
  </si>
  <si>
    <t>Predefined weak plane</t>
  </si>
  <si>
    <t>Staged</t>
  </si>
  <si>
    <t>Design a safe failure plane so damaged modules can detach without propagating failure.</t>
  </si>
  <si>
    <t>NR07, NR02, NR16</t>
  </si>
  <si>
    <t>Requires redundancy/modularity</t>
  </si>
  <si>
    <t>Cremaldi &amp; Bhushan 2018 plant abscission</t>
  </si>
  <si>
    <t>P11</t>
  </si>
  <si>
    <t>Bone/shell; bacteria; fungi; algae</t>
  </si>
  <si>
    <t>Convert soluble precursors/metabolic products into solid repair mineral</t>
  </si>
  <si>
    <t>Moisture, ions, nutrients, pH, metabolism</t>
  </si>
  <si>
    <t>Nucleation + crystal growth</t>
  </si>
  <si>
    <t>Diffusion/capillarity/growth</t>
  </si>
  <si>
    <t>Damage void</t>
  </si>
  <si>
    <t>Finite to multi-cycle</t>
  </si>
  <si>
    <t>Grow compatible solid matter inside the defect.</t>
  </si>
  <si>
    <t>Access, by-products, viability, depth</t>
  </si>
  <si>
    <t>Concrete and biomineralization sources</t>
  </si>
  <si>
    <t>P12</t>
  </si>
  <si>
    <t>Dynamic bond exchange</t>
  </si>
  <si>
    <t>Protein-like networks; ECM analogues; mussel coordination</t>
  </si>
  <si>
    <t>Break and reform bonds without replacing the whole material</t>
  </si>
  <si>
    <t>Contact / thermal / chemical stimulus</t>
  </si>
  <si>
    <t>Reversible covalent or supramolecular exchange</t>
  </si>
  <si>
    <t>Molecular diffusion</t>
  </si>
  <si>
    <t>Distributed network</t>
  </si>
  <si>
    <t>Make connectivity reversible while maintaining enough mobility for repair.</t>
  </si>
  <si>
    <t>2026 polymer/hydrogel reviews</t>
  </si>
  <si>
    <t>P13</t>
  </si>
  <si>
    <t>Sacrificial energy dissipation</t>
  </si>
  <si>
    <t>Mussel byssus; bone; nacre</t>
  </si>
  <si>
    <t>Consume fracture energy in weaker reversible interactions</t>
  </si>
  <si>
    <t>High load</t>
  </si>
  <si>
    <t>Weak bonds break before backbone</t>
  </si>
  <si>
    <t>Hierarchy / interfaces</t>
  </si>
  <si>
    <t>Immediate; recovery later</t>
  </si>
  <si>
    <t>Use resettable weak links as mechanical fuses.</t>
  </si>
  <si>
    <t>NR09, NR10</t>
  </si>
  <si>
    <t>Recovery lag / hysteresis</t>
  </si>
  <si>
    <t>Mussel/tough tissue literature</t>
  </si>
  <si>
    <t>P14</t>
  </si>
  <si>
    <t>Hierarchical stress redistribution</t>
  </si>
  <si>
    <t>Enamel; nacre; bone</t>
  </si>
  <si>
    <t>Use multiscale arrangement to control where cracks go and how stress spreads</t>
  </si>
  <si>
    <t>Stress concentration</t>
  </si>
  <si>
    <t>Hard/soft phases + interfaces</t>
  </si>
  <si>
    <t>Multiscale</t>
  </si>
  <si>
    <t>Persistent</t>
  </si>
  <si>
    <t>Distribute conflicting functions across scales rather than one homogeneous material.</t>
  </si>
  <si>
    <t>Fabrication complexity; healing mobility can be constrained</t>
  </si>
  <si>
    <t>2026 enamel paper</t>
  </si>
  <si>
    <t>P15</t>
  </si>
  <si>
    <t>Phase-transfer recycling</t>
  </si>
  <si>
    <t>Fibrinolysis analogue; material recycling within circulation</t>
  </si>
  <si>
    <t>Remobilize matter trapped in an inactive phase and reuse it</t>
  </si>
  <si>
    <t>Chemical/electrochemical condition</t>
  </si>
  <si>
    <t>Solid↔dissolved phase conversion</t>
  </si>
  <si>
    <t>Diffusion/flow</t>
  </si>
  <si>
    <t>Cycle-dependent</t>
  </si>
  <si>
    <t>Repair location/phase errors by recycling the existing material pool.</t>
  </si>
  <si>
    <t>Unwanted migration/shuttle</t>
  </si>
  <si>
    <t>2017 Li–S self-healing electrolyte</t>
  </si>
  <si>
    <t>P16</t>
  </si>
  <si>
    <t>Remodeling / matrix turnover</t>
  </si>
  <si>
    <t>Bone; skin; tendon; regenerative tissues</t>
  </si>
  <si>
    <t>Remove damaged matrix and rebuild organized functional material over time</t>
  </si>
  <si>
    <t>Load/biochemical feedback</t>
  </si>
  <si>
    <t>Degradation + deposition + reorganization</t>
  </si>
  <si>
    <t>Cell/vascular transport</t>
  </si>
  <si>
    <t>Tissue volume</t>
  </si>
  <si>
    <t>Slow</t>
  </si>
  <si>
    <t>After closure, continue optimizing the repaired zone until system function—not geometry—is restored.</t>
  </si>
  <si>
    <t>NR12, NR16</t>
  </si>
  <si>
    <t>Slow, resource-intensive, hard to engineer synthetically</t>
  </si>
  <si>
    <t>Regenerative biology + hydrogel literature</t>
  </si>
  <si>
    <t>Biological Models — natural systems as causal evidence anchors</t>
  </si>
  <si>
    <t>Models are stored separately from strategies: one organism may express several primitives, and the same strategy can be supported by multiple organisms. This prevents the engine from copying organism form without understanding mechanism.</t>
  </si>
  <si>
    <t>Model ID</t>
  </si>
  <si>
    <t>Domain</t>
  </si>
  <si>
    <t>Damage / challenge</t>
  </si>
  <si>
    <t>Natural response sequence</t>
  </si>
  <si>
    <t>Primitive IDs</t>
  </si>
  <si>
    <t>Strategy IDs</t>
  </si>
  <si>
    <t>Primary resources / energy</t>
  </si>
  <si>
    <t>Transport mode</t>
  </si>
  <si>
    <t>Transferable rule</t>
  </si>
  <si>
    <t>Evidence / attached source</t>
  </si>
  <si>
    <t>M01</t>
  </si>
  <si>
    <t>Animal tissue</t>
  </si>
  <si>
    <t>Soft-tissue wound healing</t>
  </si>
  <si>
    <t>Open wound; fluid loss; contamination; lost continuity</t>
  </si>
  <si>
    <t>Clot rapidly → immune cleanup/signaling → fibroblast/matrix deposition → remodeling</t>
  </si>
  <si>
    <t>P02,P03,P16</t>
  </si>
  <si>
    <t>NR03,NR15,NR16,NR12</t>
  </si>
  <si>
    <t>Circulating platelets/proteins; cells; metabolic energy</t>
  </si>
  <si>
    <t>Blood/vascular + cell migration</t>
  </si>
  <si>
    <t>Interface→tissue</t>
  </si>
  <si>
    <t>Immediate→weeks/months</t>
  </si>
  <si>
    <t>Repeated within biological limits</t>
  </si>
  <si>
    <t>Separate urgent stabilization from slower restoration and remodeling.</t>
  </si>
  <si>
    <t>322753.pdf</t>
  </si>
  <si>
    <t>M02</t>
  </si>
  <si>
    <t>Animal circulation</t>
  </si>
  <si>
    <t>Blood clotting / hemostasis</t>
  </si>
  <si>
    <t>Breach causes fluid loss</t>
  </si>
  <si>
    <t>Damage exposes wound → platelets/proteins aggregate → plug forms → homeostasis restored</t>
  </si>
  <si>
    <t>NR03,NR16</t>
  </si>
  <si>
    <t>Circulating clotting components</t>
  </si>
  <si>
    <t>Blood flow</t>
  </si>
  <si>
    <t>Localized breach</t>
  </si>
  <si>
    <t>Seconds–minutes</t>
  </si>
  <si>
    <t>Repeated while resources available</t>
  </si>
  <si>
    <t>Use flowing resources to aggregate specifically where containment is needed.</t>
  </si>
  <si>
    <t>M03</t>
  </si>
  <si>
    <t>Fibrinolysis</t>
  </si>
  <si>
    <t>Obstructive clot must be removed after it has served its purpose</t>
  </si>
  <si>
    <t>Enzymatic action dissolves clot → material becomes mobile → vessel function restored</t>
  </si>
  <si>
    <t>P15,P03</t>
  </si>
  <si>
    <t>NR13,NR16</t>
  </si>
  <si>
    <t>Enzymes + chemical energy</t>
  </si>
  <si>
    <t>Circulation/diffusion</t>
  </si>
  <si>
    <t>Vessel-local</t>
  </si>
  <si>
    <t>After stabilization</t>
  </si>
  <si>
    <t>Repeated</t>
  </si>
  <si>
    <t>Temporary repair material should be removable/recyclable when it becomes the next failure mode.</t>
  </si>
  <si>
    <t>Bio-inspired Self-Healing electrolytes for Li-S batteries 2017.pdf</t>
  </si>
  <si>
    <t>M04</t>
  </si>
  <si>
    <t>Animal/plant</t>
  </si>
  <si>
    <t>Innate immune response</t>
  </si>
  <si>
    <t>Pathogen/damage crosses first barrier</t>
  </si>
  <si>
    <t>Recognize pattern → signal → recruit specialized response → remove threat / support repair</t>
  </si>
  <si>
    <t>NR15,NR16</t>
  </si>
  <si>
    <t>Cells, humoral factors, signaling molecules</t>
  </si>
  <si>
    <t>Circulation / local signaling</t>
  </si>
  <si>
    <t>Cell→organism</t>
  </si>
  <si>
    <t>Minutes→days</t>
  </si>
  <si>
    <t>Detect type of damage, not only magnitude; recruit a specialized response instead of a generic one.</t>
  </si>
  <si>
    <t>M05</t>
  </si>
  <si>
    <t>Animal</t>
  </si>
  <si>
    <t>Muscle reversible contraction</t>
  </si>
  <si>
    <t>Repeated deformation without permanent damage</t>
  </si>
  <si>
    <t>Chemical energy drives actin–myosin sliding → reversible contraction/relaxation</t>
  </si>
  <si>
    <t>ATP / ions</t>
  </si>
  <si>
    <t>Local biochemical control</t>
  </si>
  <si>
    <t>Molecular→organ</t>
  </si>
  <si>
    <t>Milliseconds→seconds</t>
  </si>
  <si>
    <t>Very high cycle</t>
  </si>
  <si>
    <t>Design reversible active state changes with a reset path.</t>
  </si>
  <si>
    <t>M06</t>
  </si>
  <si>
    <t>Chameleon skin nanocrystal spacing</t>
  </si>
  <si>
    <t>Change optical property reversibly</t>
  </si>
  <si>
    <t>Muscle/strain changes spacing/conformation of guanine nanocrystals → optical response reverses</t>
  </si>
  <si>
    <t>NR14,NR15</t>
  </si>
  <si>
    <t>Mechanical/chemical control</t>
  </si>
  <si>
    <t>Nano→surface</t>
  </si>
  <si>
    <t>Fast</t>
  </si>
  <si>
    <t>High cycle</t>
  </si>
  <si>
    <t>Change physical function through reversible geometry rather than material replacement.</t>
  </si>
  <si>
    <t>M07</t>
  </si>
  <si>
    <t>Multilayer skin / dermis</t>
  </si>
  <si>
    <t>Protect, sense, adhere, heal while layers have different roles</t>
  </si>
  <si>
    <t>Outer barrier limits exposure → dermis senses/responds → tissue repair restores continuity</t>
  </si>
  <si>
    <t>P05,P03,P16</t>
  </si>
  <si>
    <t>NR01,NR15,NR16,NR12</t>
  </si>
  <si>
    <t>Layered tissue + circulation</t>
  </si>
  <si>
    <t>Vascular/cellular</t>
  </si>
  <si>
    <t>Surface→tissue</t>
  </si>
  <si>
    <t>Immediate→long</t>
  </si>
  <si>
    <t>Separate conflicting functions spatially across layers and coordinate repair between them.</t>
  </si>
  <si>
    <t>2026 skin/dermis papers in Papers (60)</t>
  </si>
  <si>
    <t>M08</t>
  </si>
  <si>
    <t>Extracellular matrix / hydrated tissue network</t>
  </si>
  <si>
    <t>Maintain soft hydrated structure while constantly reorganizing</t>
  </si>
  <si>
    <t>Dynamic molecular interactions break/reform while cells remodel matrix</t>
  </si>
  <si>
    <t>P12,P16</t>
  </si>
  <si>
    <t>NR08,NR12</t>
  </si>
  <si>
    <t>Water, proteins/polymers, cells</t>
  </si>
  <si>
    <t>Diffusion/cellular</t>
  </si>
  <si>
    <t>Molecular→tissue</t>
  </si>
  <si>
    <t>A network can be stable at system scale while its local bonds are dynamic.</t>
  </si>
  <si>
    <t>Development of self-healing hydrogels with new functions using nanomaterials.pdf</t>
  </si>
  <si>
    <t>M09</t>
  </si>
  <si>
    <t>Animal hard tissue</t>
  </si>
  <si>
    <t>Carry load, dissipate cracks, remodel damage</t>
  </si>
  <si>
    <t>Hierarchy distributes stress → sacrificial interactions dissipate → cells resorb/deposit mineral → remodel to load</t>
  </si>
  <si>
    <t>P13,P14,P11,P16</t>
  </si>
  <si>
    <t>NR09,NR10,NR11,NR12</t>
  </si>
  <si>
    <t>Mineral ions, collagen, cells, metabolic energy</t>
  </si>
  <si>
    <t>Nano→organ</t>
  </si>
  <si>
    <t>Immediate→months</t>
  </si>
  <si>
    <t>Combine hierarchical toughening with long-term material replacement and load-guided remodeling.</t>
  </si>
  <si>
    <t>Bone-inspired papers in Papers (60)</t>
  </si>
  <si>
    <t>M10</t>
  </si>
  <si>
    <t>Extreme stiffness/strength with crack resistance</t>
  </si>
  <si>
    <t>Aligned mineral nanostructure redistributes load and limits crack propagation; engineered analogue adds dynamic interface</t>
  </si>
  <si>
    <t>P14,P12</t>
  </si>
  <si>
    <t>NR10,NR08</t>
  </si>
  <si>
    <t>Mineral hierarchy; engineered water/heat trigger in 2026 analogue</t>
  </si>
  <si>
    <t>Local molecular mobility</t>
  </si>
  <si>
    <t>Nano→component</t>
  </si>
  <si>
    <t>Immediate crack control; hours healing</t>
  </si>
  <si>
    <t>Repeatable in engineered analogue</t>
  </si>
  <si>
    <t>Use aligned hard reinforcement for load and a dynamic interphase for repair.</t>
  </si>
  <si>
    <t>s41467-026-72309-8.pdf</t>
  </si>
  <si>
    <t>M11</t>
  </si>
  <si>
    <t>Marine animal</t>
  </si>
  <si>
    <t>Mussel byssus / plaque / cuticle</t>
  </si>
  <si>
    <t>Adhere and remain tough in wet, cyclic environments</t>
  </si>
  <si>
    <t>Catechol-rich chemistry forms strong wet interactions; metal coordination/sacrificial bonds dissipate and recover</t>
  </si>
  <si>
    <t>P12,P13</t>
  </si>
  <si>
    <t>NR04,NR08,NR09</t>
  </si>
  <si>
    <t>Catechol chemistry, metal ions</t>
  </si>
  <si>
    <t>Local diffusion/coordination</t>
  </si>
  <si>
    <t>Molecular→interface</t>
  </si>
  <si>
    <t>Fast→hours</t>
  </si>
  <si>
    <t>Multi-cycle for reversible bonds</t>
  </si>
  <si>
    <t>Pair wet-compatible adhesion with sacrificial reversible interactions.</t>
  </si>
  <si>
    <t>Multiple mussel papers in Papers (60)</t>
  </si>
  <si>
    <t>M12</t>
  </si>
  <si>
    <t>Mollusk structure</t>
  </si>
  <si>
    <t>Prevent brittle fracture in stiff mineral-rich material</t>
  </si>
  <si>
    <t>Hard platelets + soft interfaces deflect cracks and dissipate energy</t>
  </si>
  <si>
    <t>P14,P13</t>
  </si>
  <si>
    <t>NR10,NR09</t>
  </si>
  <si>
    <t>Layered mineral/organic architecture</t>
  </si>
  <si>
    <t>Nano→macro</t>
  </si>
  <si>
    <t>Persistent architecture</t>
  </si>
  <si>
    <t>Deflect cracks repeatedly through hierarchical interfaces rather than maximizing homogeneous stiffness.</t>
  </si>
  <si>
    <t>Papers (60) nacre examples</t>
  </si>
  <si>
    <t>M13</t>
  </si>
  <si>
    <t>Cephalopod protein</t>
  </si>
  <si>
    <t>Squid sucker ring teeth / suckerin</t>
  </si>
  <si>
    <t>Strong protein material with reversible interactions</t>
  </si>
  <si>
    <t>Segmented protein domains / β-sheet content control stiffness and recoverability</t>
  </si>
  <si>
    <t>P12,P14</t>
  </si>
  <si>
    <t>NR08,NR10</t>
  </si>
  <si>
    <t>Protein interactions</t>
  </si>
  <si>
    <t>Molecular</t>
  </si>
  <si>
    <t>Nano→bulk</t>
  </si>
  <si>
    <t>Hours</t>
  </si>
  <si>
    <t>Tune crosslink density and hard/soft segmentation to set the mobility–strength balance.</t>
  </si>
  <si>
    <t>Papers (60)</t>
  </si>
  <si>
    <t>M14</t>
  </si>
  <si>
    <t>Echinoderm tissue</t>
  </si>
  <si>
    <t>Switch stiffness rapidly and reversibly</t>
  </si>
  <si>
    <t>Stimulus changes noncovalent interactions / connective-tissue state</t>
  </si>
  <si>
    <t>P01,P12</t>
  </si>
  <si>
    <t>NR14,NR08</t>
  </si>
  <si>
    <t>Ions / biochemical signals</t>
  </si>
  <si>
    <t>Tissue</t>
  </si>
  <si>
    <t>Use environment-controlled reversible crosslinks for adaptive stiffness.</t>
  </si>
  <si>
    <t>M15</t>
  </si>
  <si>
    <t>Arthropod</t>
  </si>
  <si>
    <t>Exoskeleton</t>
  </si>
  <si>
    <t>Protect soft internal tissues from repeated external hazards</t>
  </si>
  <si>
    <t>Tough outer shell absorbs/deflects damage; growth renews shell</t>
  </si>
  <si>
    <t>P05,P04</t>
  </si>
  <si>
    <t>NR01,NR07,NR10</t>
  </si>
  <si>
    <t>Secreted/grown material</t>
  </si>
  <si>
    <t>Growth from epidermis</t>
  </si>
  <si>
    <t>Surface→body</t>
  </si>
  <si>
    <t>Continuous / molt cycles</t>
  </si>
  <si>
    <t>Externalize routine damage into a replaceable hard shell.</t>
  </si>
  <si>
    <t>M16</t>
  </si>
  <si>
    <t>Reptile</t>
  </si>
  <si>
    <t>Snake molting</t>
  </si>
  <si>
    <t>Maintain surface integrity as organism grows/wears</t>
  </si>
  <si>
    <t>New dermal layer forms beneath old layer → old skin sheds → fresh surface exposed</t>
  </si>
  <si>
    <t>Growth/metabolism</t>
  </si>
  <si>
    <t>Growth from inside</t>
  </si>
  <si>
    <t>Lifetime</t>
  </si>
  <si>
    <t>Replace damaged surface wholesale when patching becomes inefficient.</t>
  </si>
  <si>
    <t>M17</t>
  </si>
  <si>
    <t>Plant surface</t>
  </si>
  <si>
    <t>Lotus leaf wax + hierarchy</t>
  </si>
  <si>
    <t>Keep surface clean and water-repellent</t>
  </si>
  <si>
    <t>Hierarchical roughness + replenishable wax → droplets roll off and remove contamination</t>
  </si>
  <si>
    <t>P08,P05</t>
  </si>
  <si>
    <t>NR01,NR07</t>
  </si>
  <si>
    <t>Wax secretion; surface morphology</t>
  </si>
  <si>
    <t>Secretion</t>
  </si>
  <si>
    <t>Nano/micro surface</t>
  </si>
  <si>
    <t>Combine multiscale geometry with renewable surface chemistry.</t>
  </si>
  <si>
    <t>322753.pdf; Bioinspired_Materials_for_Self-Cleaning_and_Self-H.pdf</t>
  </si>
  <si>
    <t>M18</t>
  </si>
  <si>
    <t>Tree bark</t>
  </si>
  <si>
    <t>Protect living interior over long service life</t>
  </si>
  <si>
    <t>Living inner layer continually creates dead hardened outer barrier</t>
  </si>
  <si>
    <t>Growth resources</t>
  </si>
  <si>
    <t>Surface→trunk</t>
  </si>
  <si>
    <t>Generate a sacrificial protective layer from a protected internal source.</t>
  </si>
  <si>
    <t>M19</t>
  </si>
  <si>
    <t>CODIT — compartmentalization of decay</t>
  </si>
  <si>
    <t>Infection/decay threatens to spread through trunk</t>
  </si>
  <si>
    <t>Cells at boundaries create chemical + physical walls → damaged region isolated</t>
  </si>
  <si>
    <t>P09,P03</t>
  </si>
  <si>
    <t>NR02,NR15</t>
  </si>
  <si>
    <t>Antimicrobial chemistry + growth boundaries</t>
  </si>
  <si>
    <t>Local signaling</t>
  </si>
  <si>
    <t>Local volume</t>
  </si>
  <si>
    <t>Rapid boundary + persistent</t>
  </si>
  <si>
    <t>Repeatable spatially</t>
  </si>
  <si>
    <t>Preserve system-level function by sacrificing local volume and preventing propagation.</t>
  </si>
  <si>
    <t>M20</t>
  </si>
  <si>
    <t>Plant</t>
  </si>
  <si>
    <t>Abscission / selective shedding</t>
  </si>
  <si>
    <t>Remove obsolete/damaged tissue without opening system to infection</t>
  </si>
  <si>
    <t>Prepare protective layer → enzymes weaken adhesion at separation zone → tissue detaches</t>
  </si>
  <si>
    <t>P10,P03</t>
  </si>
  <si>
    <t>NR07,NR02,NR16</t>
  </si>
  <si>
    <t>Enzymes + new protective tissue</t>
  </si>
  <si>
    <t>Local secretion</t>
  </si>
  <si>
    <t>Predefined boundary</t>
  </si>
  <si>
    <t>Create a protected separation plane before deliberately detaching a damaged module.</t>
  </si>
  <si>
    <t>M21</t>
  </si>
  <si>
    <t>Plant innate immune recognition</t>
  </si>
  <si>
    <t>Detect microbes despite no mobile immune-cell system</t>
  </si>
  <si>
    <t>Surface barriers → receptor recognition → intracellular response → effector recognition / counter-response</t>
  </si>
  <si>
    <t>P03,P05</t>
  </si>
  <si>
    <t>NR15,NR01,NR16</t>
  </si>
  <si>
    <t>Cellular signaling/secretions</t>
  </si>
  <si>
    <t>Cell-to-cell/local</t>
  </si>
  <si>
    <t>Cell→plant</t>
  </si>
  <si>
    <t>Use distributed local sensing and layered recognition rather than one centralized detector.</t>
  </si>
  <si>
    <t>M22</t>
  </si>
  <si>
    <t>Weeping fig / latex secretion cells</t>
  </si>
  <si>
    <t>Seal/protect wound at exposed surface</t>
  </si>
  <si>
    <t>Damage ruptures secretion cells → stored latex flows into wound → hardens/protects</t>
  </si>
  <si>
    <t>P06,P03</t>
  </si>
  <si>
    <t>NR05,NR03</t>
  </si>
  <si>
    <t>Stored latex</t>
  </si>
  <si>
    <t>Local flow/capillarity</t>
  </si>
  <si>
    <t>Local wound</t>
  </si>
  <si>
    <t>Finite locally</t>
  </si>
  <si>
    <t>Let the damage event open the reservoir and deliver repair material automatically.</t>
  </si>
  <si>
    <t>M23</t>
  </si>
  <si>
    <t>Plant/animal</t>
  </si>
  <si>
    <t>Move repair resources to spatially variable damage</t>
  </si>
  <si>
    <t>Distributed channels carry fluids/cells/nutrients to the wound</t>
  </si>
  <si>
    <t>Circulating resources</t>
  </si>
  <si>
    <t>Network flow</t>
  </si>
  <si>
    <t>System-wide network</t>
  </si>
  <si>
    <t>On demand</t>
  </si>
  <si>
    <t>Embed a connected transport network when repair location cannot be known in advance.</t>
  </si>
  <si>
    <t>322753.pdf; 2026 composites review</t>
  </si>
  <si>
    <t>M24</t>
  </si>
  <si>
    <t>Microorganism</t>
  </si>
  <si>
    <t>Microbial MICP — general</t>
  </si>
  <si>
    <t>Fill cracks in mineral substrate</t>
  </si>
  <si>
    <t>Metabolism produces carbonate/bicarbonate → Ca2+ combines → CaCO3 nucleates/grows in crack</t>
  </si>
  <si>
    <t>Calcium + nutrient + water + microbes</t>
  </si>
  <si>
    <t>Diffusion/capillarity</t>
  </si>
  <si>
    <t>Crack volume</t>
  </si>
  <si>
    <t>While cells/resources viable</t>
  </si>
  <si>
    <t>Use metabolic waste/product formation to grow compatible mineral directly in damage.</t>
  </si>
  <si>
    <t>2023vanderBerghphd.pdf; concrete reviews</t>
  </si>
  <si>
    <t>M25</t>
  </si>
  <si>
    <t>Bacterium</t>
  </si>
  <si>
    <t>Sporosarcina pasteurii</t>
  </si>
  <si>
    <t>High-yield ureolytic CaCO3 precipitation</t>
  </si>
  <si>
    <t>Urease hydrolyzes urea → carbonate chemistry → CaCO3 precipitation</t>
  </si>
  <si>
    <t>Urea/nutrients + Ca2+ + water</t>
  </si>
  <si>
    <t>Days</t>
  </si>
  <si>
    <t>Finite/multi depending supply</t>
  </si>
  <si>
    <t>Select organisms/pathways based on yield and operating environment.</t>
  </si>
  <si>
    <t>M26</t>
  </si>
  <si>
    <t>Sutcliffiella cohnii</t>
  </si>
  <si>
    <t>Alternative MICP repair in cement</t>
  </si>
  <si>
    <t>Bacterial agent + nutrient medium modifies crack chemistry and precipitation; performance depends strongly on medium/application</t>
  </si>
  <si>
    <t>Nutrients + water + calcium-bearing cement environment</t>
  </si>
  <si>
    <t>External application/capillarity</t>
  </si>
  <si>
    <t>Surface/crack</t>
  </si>
  <si>
    <t>Treatment-dependent</t>
  </si>
  <si>
    <t>Treat the repair microenvironment and nutrient formulation as part of the mechanism, not an implementation detail.</t>
  </si>
  <si>
    <t>M27</t>
  </si>
  <si>
    <t>B. pseudomycoides HASS3</t>
  </si>
  <si>
    <t>Repair concrete crack by microbial mineral precipitation</t>
  </si>
  <si>
    <t>Bacteria precipitate calcite/vaterite; strong closure near crack mouth, much less deep in crack</t>
  </si>
  <si>
    <t>Nutrients + water + ions</t>
  </si>
  <si>
    <t>Surface-biased crack</t>
  </si>
  <si>
    <t>Weeks</t>
  </si>
  <si>
    <t>Resource-dependent</t>
  </si>
  <si>
    <t>Add penetration depth to healing metrics; surface closure is not sufficient evidence.</t>
  </si>
  <si>
    <t>Bio_inspired_self_healing_of_concrete_cr.pdf</t>
  </si>
  <si>
    <t>M28</t>
  </si>
  <si>
    <t>Bacillus subtilis</t>
  </si>
  <si>
    <t>Survive alkaline environment and promote CaCO3 crack sealing</t>
  </si>
  <si>
    <t>Bacteria introduced into mix; suitable concentration improves strength and partial sealing</t>
  </si>
  <si>
    <t>Cells + nutrients + water</t>
  </si>
  <si>
    <t>Embedded / local</t>
  </si>
  <si>
    <t>Concrete microcracks</t>
  </si>
  <si>
    <t>Days/weeks</t>
  </si>
  <si>
    <t>Agent dose/population and material age are design variables in living repair systems.</t>
  </si>
  <si>
    <t>Ibrahim Galal Ibrahim Shaaban_PDF version.pdf</t>
  </si>
  <si>
    <t>M29</t>
  </si>
  <si>
    <t>Fungus</t>
  </si>
  <si>
    <t>Fungal biomineralization</t>
  </si>
  <si>
    <t>Survive harsh concrete environment and provide nucleation network</t>
  </si>
  <si>
    <t>Cell wall binds Ca2+; large mycelial network provides nucleation sites; carbonate forms mineral</t>
  </si>
  <si>
    <t>P11,P06</t>
  </si>
  <si>
    <t>NR11,NR06</t>
  </si>
  <si>
    <t>Calcium/carbonate + fungal biomass</t>
  </si>
  <si>
    <t>Growth network</t>
  </si>
  <si>
    <t>Crack/network</t>
  </si>
  <si>
    <t>Potentially multi-cycle</t>
  </si>
  <si>
    <t>Use a growing network as both transport/nucleation scaffold and mineralization catalyst.</t>
  </si>
  <si>
    <t>ICCESD-Concretesdoctorareviewonself-healingconcretetechnologies.pdf</t>
  </si>
  <si>
    <t>M30</t>
  </si>
  <si>
    <t>Microalgae</t>
  </si>
  <si>
    <t>Algae-based biomineralization</t>
  </si>
  <si>
    <t>Seal exposed concrete cracks sustainably</t>
  </si>
  <si>
    <t>Algae facilitate CaCO3 precipitation; photosynthesis requires light and environmental access</t>
  </si>
  <si>
    <t>Light + CO2 + moisture + ions</t>
  </si>
  <si>
    <t>Surface diffusion/growth</t>
  </si>
  <si>
    <t>Exposed surface crack</t>
  </si>
  <si>
    <t>Potential repeated cycles with resources</t>
  </si>
  <si>
    <t>Match living agent ecology to damage accessibility; do not assume an exposed-surface model works deep inside opaque material.</t>
  </si>
  <si>
    <t>126009167.pdf + van der Bergh thesis limitation</t>
  </si>
  <si>
    <t>Challenge → Strategy reasoning rules</t>
  </si>
  <si>
    <t>Use this sheet as the retrieval/selection layer: first classify the damage and operating conditions, then rank strategies. These are reasoning rules, not material prescriptions.</t>
  </si>
  <si>
    <t>Challenge pattern</t>
  </si>
  <si>
    <t>Critical qualifiers</t>
  </si>
  <si>
    <t>Prioritize</t>
  </si>
  <si>
    <t>Usually combine with</t>
  </si>
  <si>
    <t>De-prioritize / reject when</t>
  </si>
  <si>
    <t>Reasoning rule</t>
  </si>
  <si>
    <t>What to measure</t>
  </si>
  <si>
    <t>Urgent fluid leak / ingress through a new crack</t>
  </si>
  <si>
    <t>Need seconds–hours response; strength can recover later</t>
  </si>
  <si>
    <t>NR05/NR06 + NR16</t>
  </si>
  <si>
    <t>Slow remodeling alone</t>
  </si>
  <si>
    <t>Stabilize homeostasis first: stop flow before optimizing structural restoration.</t>
  </si>
  <si>
    <t>Blood clotting / plant exudate</t>
  </si>
  <si>
    <t>Leakage/permeability immediately; strength separately</t>
  </si>
  <si>
    <t>Do not label sealing as structural healing.</t>
  </si>
  <si>
    <t>Crack repeatedly reopens at same location</t>
  </si>
  <si>
    <t>Recurrence high; local payload may exhaust</t>
  </si>
  <si>
    <t>NR06 or NR08</t>
  </si>
  <si>
    <t>NR15 + NR16</t>
  </si>
  <si>
    <t>NR05 alone</t>
  </si>
  <si>
    <t>Favor replenishable transport or intrinsic reversible networks over one-shot reservoirs.</t>
  </si>
  <si>
    <t>Vascular transport / dynamic protein network</t>
  </si>
  <si>
    <t>Cycles to performance threshold</t>
  </si>
  <si>
    <t>Record depletion mode.</t>
  </si>
  <si>
    <t>Deep internal crack with no maintenance access</t>
  </si>
  <si>
    <t>Repair location uncertain; resources must reach depth</t>
  </si>
  <si>
    <t>NR06 + NR11</t>
  </si>
  <si>
    <t>Surface-only treatment</t>
  </si>
  <si>
    <t>Make access/transport a hard feasibility filter before chemistry selection.</t>
  </si>
  <si>
    <t>Vasculature + microbial mineralization</t>
  </si>
  <si>
    <t>Depth-resolved healing; transport reach</t>
  </si>
  <si>
    <t>Surface closure can mask internal damage.</t>
  </si>
  <si>
    <t>Large gap; faces cannot physically re-contact</t>
  </si>
  <si>
    <t>Damage volume large</t>
  </si>
  <si>
    <t>NR06/NR11/NR12</t>
  </si>
  <si>
    <t>NR08 alone</t>
  </si>
  <si>
    <t>If re-contact is impossible, supply or grow new material rather than rely only on rebonding.</t>
  </si>
  <si>
    <t>Vascular delivery / regeneration</t>
  </si>
  <si>
    <t>Volume filled + function recovery</t>
  </si>
  <si>
    <t>Intrinsic systems often need alignment/re-contact.</t>
  </si>
  <si>
    <t>Very small recurrent microdamage in polymer</t>
  </si>
  <si>
    <t>Faces can re-contact; many cycles desired</t>
  </si>
  <si>
    <t>NR09/NR15</t>
  </si>
  <si>
    <t>Finite capsule-only</t>
  </si>
  <si>
    <t>Use reversible molecular networks when damage is small and repeated.</t>
  </si>
  <si>
    <t>ECM/protein networks</t>
  </si>
  <si>
    <t>Mechanical/electrical recovery per cycle</t>
  </si>
  <si>
    <t>Check activation temperature and mobility.</t>
  </si>
  <si>
    <t>High-load structural material must remain stiff</t>
  </si>
  <si>
    <t>Healing–strength trade-off is severe</t>
  </si>
  <si>
    <t>NR10 + NR09</t>
  </si>
  <si>
    <t>Soft dynamic matrix alone</t>
  </si>
  <si>
    <t>Spatially separate load bearing from healing and use sacrificial interfaces.</t>
  </si>
  <si>
    <t>Enamel / nacre / bone</t>
  </si>
  <si>
    <t>Strength, toughness, healing %, residual stiffness</t>
  </si>
  <si>
    <t>Too much rigid reinforcement can suppress chain mobility.</t>
  </si>
  <si>
    <t>Impact / high strain-rate hazard</t>
  </si>
  <si>
    <t>Need temporary stiffening + dissipation</t>
  </si>
  <si>
    <t>NR14 + NR09</t>
  </si>
  <si>
    <t>Slow thermal healing as primary protection</t>
  </si>
  <si>
    <t>Match bond kinetics to loading rate so interactions 'lock' under fast loading but recover later.</t>
  </si>
  <si>
    <t>Bound-water network / muscle-like adaptability</t>
  </si>
  <si>
    <t>Rate-dependent modulus, hysteresis, recovery</t>
  </si>
  <si>
    <t>Kinetic window is central.</t>
  </si>
  <si>
    <t>Corrosive environment after surface cracking</t>
  </si>
  <si>
    <t>Prevent ingress and restore barrier fast</t>
  </si>
  <si>
    <t>NR01 + NR03</t>
  </si>
  <si>
    <t>NR16 + NR15</t>
  </si>
  <si>
    <t>Mechanical recovery metric alone</t>
  </si>
  <si>
    <t>Treat barrier restoration as its own function; follow with deeper repair where needed.</t>
  </si>
  <si>
    <t>Skin/bark + clotting</t>
  </si>
  <si>
    <t>Permeability, corrosion indicators, coating integrity</t>
  </si>
  <si>
    <t>Layered functions may reduce compromises.</t>
  </si>
  <si>
    <t>Concrete microcracks in moist/alkaline environment</t>
  </si>
  <si>
    <t>Water available; crack width and agent viability matter</t>
  </si>
  <si>
    <t>NR05/NR06/NR16</t>
  </si>
  <si>
    <t>Biological route if organism cannot survive pH/temperature</t>
  </si>
  <si>
    <t>Use biomineralization when ecology and resource access match the substrate.</t>
  </si>
  <si>
    <t>Bacteria MICP</t>
  </si>
  <si>
    <t>Crack width/depth, permeability, CaCO3, strength</t>
  </si>
  <si>
    <t>Organism/nutrient choice is a design variable.</t>
  </si>
  <si>
    <t>Concrete crack exposed at surface but not deep</t>
  </si>
  <si>
    <t>External treatment possible</t>
  </si>
  <si>
    <t>NR11 + external intervention mode</t>
  </si>
  <si>
    <t>Claiming full-depth healing from surface images</t>
  </si>
  <si>
    <t>Use surface-applied biorepair but quantify penetration separately.</t>
  </si>
  <si>
    <t>S. pasteurii / S. cohnii</t>
  </si>
  <si>
    <t>Depth profile + surface closure + permeability</t>
  </si>
  <si>
    <t>External healing is not self-healing under strict RILEM definitions.</t>
  </si>
  <si>
    <t>Opaque internal concrete; proposed algae repair</t>
  </si>
  <si>
    <t>No light inside bulk</t>
  </si>
  <si>
    <t>Alternative NR11 agent (bacteria/fungi)</t>
  </si>
  <si>
    <t>Algae for deep internal cracks</t>
  </si>
  <si>
    <t>Reject biological models whose required environmental resource cannot reach the defect.</t>
  </si>
  <si>
    <t>Algae vs bacteria</t>
  </si>
  <si>
    <t>Light/resource availability + depth</t>
  </si>
  <si>
    <t>Algae remain interesting for exposed/light-accessible surfaces.</t>
  </si>
  <si>
    <t>Surface wears/fouls continuously</t>
  </si>
  <si>
    <t>Damage is distributed and routine</t>
  </si>
  <si>
    <t>NR07 + NR01</t>
  </si>
  <si>
    <t>Repeated patch repair</t>
  </si>
  <si>
    <t>Renew the surface continuously or periodically instead of detecting and patching every microdefect.</t>
  </si>
  <si>
    <t>Lotus wax / bark / molting</t>
  </si>
  <si>
    <t>Functional surface retention over cycles</t>
  </si>
  <si>
    <t>Good for coatings/skins.</t>
  </si>
  <si>
    <t>Local damage threatens to spread but local function is expendable</t>
  </si>
  <si>
    <t>Propagation risk &gt; local loss</t>
  </si>
  <si>
    <t>NR07/NR16</t>
  </si>
  <si>
    <t>Full restoration at all costs</t>
  </si>
  <si>
    <t>Contain and sacrifice the local zone if that preserves system survival.</t>
  </si>
  <si>
    <t>Tree CODIT</t>
  </si>
  <si>
    <t>Propagation boundary effectiveness</t>
  </si>
  <si>
    <t>A repair ontology must include 'do not repair; isolate'.</t>
  </si>
  <si>
    <t>Device crack causes signal drift</t>
  </si>
  <si>
    <t>Mechanical + electrical functions both matter</t>
  </si>
  <si>
    <t>NR15 + NR08</t>
  </si>
  <si>
    <t>Mechanical closure alone</t>
  </si>
  <si>
    <t>Require recovery of the actual device signal pathway, not only visible crack closure.</t>
  </si>
  <si>
    <t>Skin-like sensor / hydrogel</t>
  </si>
  <si>
    <t>Resistance/conductivity + mechanical recovery</t>
  </si>
  <si>
    <t>Functional recovery is application-specific.</t>
  </si>
  <si>
    <t>Deposition/precipitate becomes trapped in wrong location or phase</t>
  </si>
  <si>
    <t>Matter is present but unavailable</t>
  </si>
  <si>
    <t>NR06/NR15</t>
  </si>
  <si>
    <t>Adding more material first</t>
  </si>
  <si>
    <t>Remobilize the stranded matter and return it to the working cycle.</t>
  </si>
  <si>
    <t>Fibrinolysis analogue / Li–S electrolyte</t>
  </si>
  <si>
    <t>Cycle life, capacity, spatial uniformity</t>
  </si>
  <si>
    <t>Useful beyond batteries for fouling/crystallization systems.</t>
  </si>
  <si>
    <t>Multiple conflicting repair timescales</t>
  </si>
  <si>
    <t>Need immediate stabilization + long-term restoration</t>
  </si>
  <si>
    <t>NR03/NR06/NR08/NR11/NR15</t>
  </si>
  <si>
    <t>Single mechanism forced to satisfy all phases</t>
  </si>
  <si>
    <t>Assign functions to time: stabilize → mobilize → reconstruct → remodel/verify.</t>
  </si>
  <si>
    <t>Wound healing</t>
  </si>
  <si>
    <t>Time-resolved function recovery</t>
  </si>
  <si>
    <t>A central differentiator of biological repair.</t>
  </si>
  <si>
    <t>Unknown failure location in a large asset</t>
  </si>
  <si>
    <t>Distributed damage; monitoring costly</t>
  </si>
  <si>
    <t>NR15 + NR06</t>
  </si>
  <si>
    <t>Localized repair system with no sensing/distribution</t>
  </si>
  <si>
    <t>Distribute both sensing and repair access; avoid assuming a known damage coordinate.</t>
  </si>
  <si>
    <t>Nervous/vascular analogy</t>
  </si>
  <si>
    <t>Localization accuracy, response time, coverage</t>
  </si>
  <si>
    <t>Closed-loop architecture.</t>
  </si>
  <si>
    <t>Resource-constrained autonomous system</t>
  </si>
  <si>
    <t>No high heat/external service; long mission</t>
  </si>
  <si>
    <t>NR08/NR14 if ambient-compatible</t>
  </si>
  <si>
    <t>NR06 if refillable onboard</t>
  </si>
  <si>
    <t>Strategies needing high external energy</t>
  </si>
  <si>
    <t>Treat energy/resource budget as a selection constraint equal to healing efficiency.</t>
  </si>
  <si>
    <t>Homeostasis / passive dynamic networks</t>
  </si>
  <si>
    <t>Energy per repair, cycle count, residual function</t>
  </si>
  <si>
    <t>Autonomy is not binary; specify energy and replenishment.</t>
  </si>
  <si>
    <t>Evaluation ontology — define what “healed” means before comparing solutions</t>
  </si>
  <si>
    <t>The attached concrete work makes this especially important: self-sealing, surface closure, strength recovery, permeability recovery, and deep crack repair are different outcomes and should never be collapsed into one generic healing percentage.</t>
  </si>
  <si>
    <t>Metric ID</t>
  </si>
  <si>
    <t>Metric / field</t>
  </si>
  <si>
    <t>Function class</t>
  </si>
  <si>
    <t>Definition / question</t>
  </si>
  <si>
    <t>Typical unit</t>
  </si>
  <si>
    <t>Required conditions to store</t>
  </si>
  <si>
    <t>Why needed</t>
  </si>
  <si>
    <t>Common misuse</t>
  </si>
  <si>
    <t>Preferred evidence</t>
  </si>
  <si>
    <t>Relevant strategies</t>
  </si>
  <si>
    <t>Example source</t>
  </si>
  <si>
    <t>Engine requirement</t>
  </si>
  <si>
    <t>E01</t>
  </si>
  <si>
    <t>Surface crack closure</t>
  </si>
  <si>
    <t>Geometry / barrier</t>
  </si>
  <si>
    <t>How much of visible crack width/area disappears at the observed surface?</t>
  </si>
  <si>
    <t>% / µm</t>
  </si>
  <si>
    <t>Initial width; imaging method; location; time</t>
  </si>
  <si>
    <t>Useful but not sufficient</t>
  </si>
  <si>
    <t>Calling visible closure 'full healing'</t>
  </si>
  <si>
    <t>Image analysis + location</t>
  </si>
  <si>
    <t>NR03,NR11</t>
  </si>
  <si>
    <t>B. pseudomycoides study</t>
  </si>
  <si>
    <t>Required for crack systems</t>
  </si>
  <si>
    <t>E02</t>
  </si>
  <si>
    <t>Healing penetration depth</t>
  </si>
  <si>
    <t>Spatial completeness</t>
  </si>
  <si>
    <t>How far into the crack/volume does repair material extend?</t>
  </si>
  <si>
    <t>mm or depth-resolved %</t>
  </si>
  <si>
    <t>Crack geometry; scan method</t>
  </si>
  <si>
    <t>Prevents surface bias</t>
  </si>
  <si>
    <t>Assuming mouth closure equals internal repair</t>
  </si>
  <si>
    <t>X-ray CT / sectioning / 3D imaging</t>
  </si>
  <si>
    <t>NR05,NR06,NR11</t>
  </si>
  <si>
    <t>Required when damage has depth</t>
  </si>
  <si>
    <t>E03</t>
  </si>
  <si>
    <t>Permeability / watertightness recovery</t>
  </si>
  <si>
    <t>Barrier</t>
  </si>
  <si>
    <t>How much fluid transport is reduced/restored?</t>
  </si>
  <si>
    <t>coefficient / % recovery</t>
  </si>
  <si>
    <t>Pressure/head; fluid; crack width; time</t>
  </si>
  <si>
    <t>Direct durability function</t>
  </si>
  <si>
    <t>Using strength recovery as proxy for sealing</t>
  </si>
  <si>
    <t>Permeability test</t>
  </si>
  <si>
    <t>van der Bergh thesis</t>
  </si>
  <si>
    <t>Required for ingress-sensitive systems</t>
  </si>
  <si>
    <t>E04</t>
  </si>
  <si>
    <t>Strength recovery</t>
  </si>
  <si>
    <t>Mechanical</t>
  </si>
  <si>
    <t>Recovery of peak load/strength after damage and repair</t>
  </si>
  <si>
    <t>MPa / %</t>
  </si>
  <si>
    <t>Loading mode; damage severity; cure/heal condition</t>
  </si>
  <si>
    <t>Separates structural healing from sealing</t>
  </si>
  <si>
    <t>Claiming healing from closure alone</t>
  </si>
  <si>
    <t>Mechanical test</t>
  </si>
  <si>
    <t>NR08,NR10,NR11</t>
  </si>
  <si>
    <t>Required for load-bearing systems</t>
  </si>
  <si>
    <t>E05</t>
  </si>
  <si>
    <t>Stiffness recovery</t>
  </si>
  <si>
    <t>Recovery of elastic modulus / stiffness</t>
  </si>
  <si>
    <t>GPa / %</t>
  </si>
  <si>
    <t>Test method; strain range</t>
  </si>
  <si>
    <t>Relevant to deflection and structural function</t>
  </si>
  <si>
    <t>Ignoring stiffness when strength recovers</t>
  </si>
  <si>
    <t>Polymer/composite reviews</t>
  </si>
  <si>
    <t>Conditional</t>
  </si>
  <si>
    <t>E06</t>
  </si>
  <si>
    <t>Toughness / fracture energy recovery</t>
  </si>
  <si>
    <t>Recovery of energy absorption/crack resistance</t>
  </si>
  <si>
    <t>MJ m⁻3 / KIC / %</t>
  </si>
  <si>
    <t>Crack geometry; loading rate</t>
  </si>
  <si>
    <t>Captures damage tolerance</t>
  </si>
  <si>
    <t>Using tensile strength alone</t>
  </si>
  <si>
    <t>Fracture/tensile integration</t>
  </si>
  <si>
    <t>NR09,NR10</t>
  </si>
  <si>
    <t>Enamel / ionogel studies</t>
  </si>
  <si>
    <t>E07</t>
  </si>
  <si>
    <t>Adhesion recovery</t>
  </si>
  <si>
    <t>Interface</t>
  </si>
  <si>
    <t>Recovery of interfacial bond or peel/shear performance</t>
  </si>
  <si>
    <t>MPa / N m⁻1 / %</t>
  </si>
  <si>
    <t>Wet/dry state; substrate; rate</t>
  </si>
  <si>
    <t>Needed for coatings/adhesives</t>
  </si>
  <si>
    <t>Visible closure as adhesion proof</t>
  </si>
  <si>
    <t>Peel/lap-shear/tack</t>
  </si>
  <si>
    <t>Mussel-inspired papers</t>
  </si>
  <si>
    <t>Required for interfaces</t>
  </si>
  <si>
    <t>E08</t>
  </si>
  <si>
    <t>Electrical / signal recovery</t>
  </si>
  <si>
    <t>Functional</t>
  </si>
  <si>
    <t>Does conductivity, resistance response, or device signal return?</t>
  </si>
  <si>
    <t>S m⁻1 / Ω / %</t>
  </si>
  <si>
    <t>Bias; strain; temperature; signal protocol</t>
  </si>
  <si>
    <t>Measures actual device function</t>
  </si>
  <si>
    <t>Mechanical healing ≠ electrical healing</t>
  </si>
  <si>
    <t>Electrical test before/after</t>
  </si>
  <si>
    <t>NR15,NR08</t>
  </si>
  <si>
    <t>Sensor/hydrogel sources</t>
  </si>
  <si>
    <t>Required for electronics</t>
  </si>
  <si>
    <t>E09</t>
  </si>
  <si>
    <t>Actuation recovery</t>
  </si>
  <si>
    <t>Does force/displacement/actuation performance return?</t>
  </si>
  <si>
    <t>% / force / strain</t>
  </si>
  <si>
    <t>Drive conditions</t>
  </si>
  <si>
    <t>Needed for artificial muscle/soft robotics</t>
  </si>
  <si>
    <t>Ignoring function beyond mechanics</t>
  </si>
  <si>
    <t>Actuation test</t>
  </si>
  <si>
    <t>Artificial muscle paper</t>
  </si>
  <si>
    <t>E10</t>
  </si>
  <si>
    <t>Healing time / kinetics</t>
  </si>
  <si>
    <t>Temporal</t>
  </si>
  <si>
    <t>Time to reach defined recovery threshold</t>
  </si>
  <si>
    <t>s/min/h/d</t>
  </si>
  <si>
    <t>Target metric + threshold + environment</t>
  </si>
  <si>
    <t>Enables phase matching</t>
  </si>
  <si>
    <t>Reporting time without recovery threshold</t>
  </si>
  <si>
    <t>Time-resolved recovery</t>
  </si>
  <si>
    <t>Wound/time-gradient analogies</t>
  </si>
  <si>
    <t>Required</t>
  </si>
  <si>
    <t>E11</t>
  </si>
  <si>
    <t>Time-stage profile</t>
  </si>
  <si>
    <t>Which functions recover in which order?</t>
  </si>
  <si>
    <t>Sequence / timepoints</t>
  </si>
  <si>
    <t>Metrics at each phase</t>
  </si>
  <si>
    <t>Captures biological sequencing</t>
  </si>
  <si>
    <t>Single endpoint hides delays/trade-offs</t>
  </si>
  <si>
    <t>Time series</t>
  </si>
  <si>
    <t>Cremaldi &amp; Bhushan; time-gradient coating</t>
  </si>
  <si>
    <t>Required for staged systems</t>
  </si>
  <si>
    <t>E12</t>
  </si>
  <si>
    <t>Repeatability / cycles</t>
  </si>
  <si>
    <t>Number of damage–repair cycles before falling below target</t>
  </si>
  <si>
    <t>cycles</t>
  </si>
  <si>
    <t>Damage severity; same vs new location</t>
  </si>
  <si>
    <t>Distinguishes reservoir from regenerative systems</t>
  </si>
  <si>
    <t>Calling one successful repair 'self-healing capability'</t>
  </si>
  <si>
    <t>Repeated-cycle tests</t>
  </si>
  <si>
    <t>NR05,NR06,NR08,NR14</t>
  </si>
  <si>
    <t>Cremaldi/Bhushan; composites review</t>
  </si>
  <si>
    <t>E13</t>
  </si>
  <si>
    <t>Repair resource depletion</t>
  </si>
  <si>
    <t>How much repair capacity remains after each event?</t>
  </si>
  <si>
    <t>mass/volume/% reservoir</t>
  </si>
  <si>
    <t>Initial resource; event size</t>
  </si>
  <si>
    <t>Predicts future availability</t>
  </si>
  <si>
    <t>Ignoring finite payload</t>
  </si>
  <si>
    <t>Mass balance / reservoir model</t>
  </si>
  <si>
    <t>NR05,NR06</t>
  </si>
  <si>
    <t>Capsule/vascular sources</t>
  </si>
  <si>
    <t>Required for extrinsic systems</t>
  </si>
  <si>
    <t>E14</t>
  </si>
  <si>
    <t>Trigger energy / intervention</t>
  </si>
  <si>
    <t>External heat/light/electricity/pressure/human action required per repair</t>
  </si>
  <si>
    <t>J / °C / qualitative</t>
  </si>
  <si>
    <t>Activation protocol</t>
  </si>
  <si>
    <t>Separates autonomous from assisted</t>
  </si>
  <si>
    <t>Calling heat-triggered system fully autonomous</t>
  </si>
  <si>
    <t>Energy/intervention record</t>
  </si>
  <si>
    <t>NR08,NR14,NR15</t>
  </si>
  <si>
    <t>2026 polymer reviews</t>
  </si>
  <si>
    <t>E15</t>
  </si>
  <si>
    <t>Environmental operating window</t>
  </si>
  <si>
    <t>Range of humidity, pH, temperature, light, ions allowing repair</t>
  </si>
  <si>
    <t>ranges</t>
  </si>
  <si>
    <t>Actual service environment</t>
  </si>
  <si>
    <t>Prevents biologically impossible transfers</t>
  </si>
  <si>
    <t>Testing only ideal lab conditions</t>
  </si>
  <si>
    <t>Condition matrix</t>
  </si>
  <si>
    <t>NR11,NR14</t>
  </si>
  <si>
    <t>Concrete reviews</t>
  </si>
  <si>
    <t>E16</t>
  </si>
  <si>
    <t>Living-agent viability / population</t>
  </si>
  <si>
    <t>Biological resource</t>
  </si>
  <si>
    <t>Are cells/spores viable and at useful concentration when damage occurs?</t>
  </si>
  <si>
    <t>CFU / cells mL⁻1 / viability %</t>
  </si>
  <si>
    <t>Age; pH; temp; nutrients</t>
  </si>
  <si>
    <t>Central to living repair</t>
  </si>
  <si>
    <t>Treating biological agent as static additive</t>
  </si>
  <si>
    <t>Viability assay + performance</t>
  </si>
  <si>
    <t>NR11,NR12</t>
  </si>
  <si>
    <t>B. subtilis / thesis</t>
  </si>
  <si>
    <t>Required for living systems</t>
  </si>
  <si>
    <t>E17</t>
  </si>
  <si>
    <t>Spatial coverage / intersection probability</t>
  </si>
  <si>
    <t>Architecture</t>
  </si>
  <si>
    <t>Likelihood that damage intersects capsule/channel/sensor</t>
  </si>
  <si>
    <t>% coverage / spacing</t>
  </si>
  <si>
    <t>Damage distribution; architecture</t>
  </si>
  <si>
    <t>Critical to localized delivery</t>
  </si>
  <si>
    <t>Ignoring sparse coverage</t>
  </si>
  <si>
    <t>Geometry/model + validation</t>
  </si>
  <si>
    <t>NR05,NR06,NR15</t>
  </si>
  <si>
    <t>Capsule/vascular reviews</t>
  </si>
  <si>
    <t>E18</t>
  </si>
  <si>
    <t>Residual defect / damage state</t>
  </si>
  <si>
    <t>Verification</t>
  </si>
  <si>
    <t>What remains unrepaired even if target function returns?</t>
  </si>
  <si>
    <t>geometry / microscopy</t>
  </si>
  <si>
    <t>Pre/post mapping</t>
  </si>
  <si>
    <t>Supports safe degradation rather than binary healed/not healed</t>
  </si>
  <si>
    <t>Equating function recovery with pristine material</t>
  </si>
  <si>
    <t>NDT + functional tests</t>
  </si>
  <si>
    <t>Concrete depth example</t>
  </si>
  <si>
    <t>Required for safety-critical</t>
  </si>
  <si>
    <t>E19</t>
  </si>
  <si>
    <t>Field maturity / scale</t>
  </si>
  <si>
    <t>Translation</t>
  </si>
  <si>
    <t>Has performance been shown outside controlled laboratory conditions?</t>
  </si>
  <si>
    <t>TRL / lab-pilot-field</t>
  </si>
  <si>
    <t>Specimen scale; environment</t>
  </si>
  <si>
    <t>Prevents overconfidence</t>
  </si>
  <si>
    <t>Treating review claims as deployment evidence</t>
  </si>
  <si>
    <t>Field/pilot data</t>
  </si>
  <si>
    <t>Concrete 2026 review</t>
  </si>
  <si>
    <t>E20</t>
  </si>
  <si>
    <t>Evidence quality / peer-review status</t>
  </si>
  <si>
    <t>What type of source supports the claim?</t>
  </si>
  <si>
    <t>Primary/review/thesis/preprint/SI</t>
  </si>
  <si>
    <t>Publication status; DOI</t>
  </si>
  <si>
    <t>Weights ontology assertions</t>
  </si>
  <si>
    <t>Treating preprint/SI as equal to validated primary study</t>
  </si>
  <si>
    <t>Source classification</t>
  </si>
  <si>
    <t>Attached source set</t>
  </si>
  <si>
    <t>Attached-source review and ontology integration log</t>
  </si>
  <si>
    <t>All attached files are catalogued here. Evidence status is explicit: primary research, review, thesis, conference paper, supporting information, or non-peer-reviewed preprint. Only source-supported mechanisms were integrated; overlapping reviews are used mainly to strengthen vocabulary, constraints, and provenance.</t>
  </si>
  <si>
    <t>File</t>
  </si>
  <si>
    <t>Title / identification</t>
  </si>
  <si>
    <t>Source type</t>
  </si>
  <si>
    <t>Peer-review / status</t>
  </si>
  <si>
    <t>Main ontology contribution</t>
  </si>
  <si>
    <t>Strategies / primitives informed</t>
  </si>
  <si>
    <t>Key constraint or nuance integrated</t>
  </si>
  <si>
    <t>DOI / source URL</t>
  </si>
  <si>
    <t>Use in ontology</t>
  </si>
  <si>
    <t>Evidence weight</t>
  </si>
  <si>
    <t>Bio-inspired Bacteria-based Concrete for Durability Increase of Structures — John Milan van der Bergh, Liverpool John Moores University PhD thesis</t>
  </si>
  <si>
    <t>PhD thesis</t>
  </si>
  <si>
    <t>Examined thesis; cites and reports peer-reviewed studies</t>
  </si>
  <si>
    <t>Self-healing terminology; autogenic/autonomic/external healing; MICP pathways; external bacterial repair; nutrient microenvironment; capsules/vascular delivery; evaluation metrics</t>
  </si>
  <si>
    <t>NR05, NR06, NR11, NR16; P06, P11</t>
  </si>
  <si>
    <t>Distinguish self-sealing from mechanical healing; external healing is a different intervention mode; nutrient medium, crack depth, field conditions and cost matter</t>
  </si>
  <si>
    <t>https://doi.org/10.1016/j.conbuildmat.2020.118557</t>
  </si>
  <si>
    <t>Major ontology source</t>
  </si>
  <si>
    <t>High for synthesis; primary findings in thesis</t>
  </si>
  <si>
    <t>Includes associated peer-reviewed publications.</t>
  </si>
  <si>
    <t>Bioinspired self-healing materials: lessons from nature — Cremaldi &amp; Bhushan</t>
  </si>
  <si>
    <t>2018</t>
  </si>
  <si>
    <t>Peer-reviewed review</t>
  </si>
  <si>
    <t>Open-access review</t>
  </si>
  <si>
    <t>Canonical eight biological healing mechanisms; animal/plant comparisons; clotting, cellular response, layering, protective surfaces, vascular/capsule delivery, exposure, replenishable coatings; CODIT and abscission examples</t>
  </si>
  <si>
    <t>NR01–NR07, NR14–NR16; P01–P10</t>
  </si>
  <si>
    <t>Provides biological primitives, not just material mechanisms; emphasizes immediate homeostasis before slower repair</t>
  </si>
  <si>
    <t>https://doi.org/10.3762/bjnano.9.85</t>
  </si>
  <si>
    <t>Foundational ontology backbone</t>
  </si>
  <si>
    <t>Very high</t>
  </si>
  <si>
    <t>Primary biological taxonomy source for this workbook.</t>
  </si>
  <si>
    <t>126009167.pdf</t>
  </si>
  <si>
    <t>Bio-inspired Self-Healing Concrete using Algae-Based Healing Agents for Crack Repair</t>
  </si>
  <si>
    <t>Conference proceedings / review-style paper</t>
  </si>
  <si>
    <t>Published proceedings</t>
  </si>
  <si>
    <t>Algae-facilitated CaCO3 biomineralization; renewable biological agent; repeated healing conditional on resources</t>
  </si>
  <si>
    <t>NR11; P11</t>
  </si>
  <si>
    <t>Algae require light/CO2/moisture; deep opaque cracks therefore need explicit feasibility screening</t>
  </si>
  <si>
    <t>https://doi.org/10.2991/978-94-6463-662-8_78</t>
  </si>
  <si>
    <t>Biological-agent option + resource constraint</t>
  </si>
  <si>
    <t>Cross-checked against van der Bergh thesis limitation on internal light access.</t>
  </si>
  <si>
    <t>A_review_on_self-healing_concrete_A_biological_app.pdf</t>
  </si>
  <si>
    <t>A Review on Self-healing Concrete — A Biological Approach — Dilshad Kakasor Jaf</t>
  </si>
  <si>
    <t>Published review</t>
  </si>
  <si>
    <t>Biological concrete healing; water-activated CaCO3 crack filling; bacterial concrete terminology and durability context</t>
  </si>
  <si>
    <t>NR03, NR11; P11</t>
  </si>
  <si>
    <t>Water availability is an activation condition; sealing/permeability and structural performance are distinct</t>
  </si>
  <si>
    <t>https://doi.org/10.5937/ror2301001J</t>
  </si>
  <si>
    <t>Supporting concrete ontology vocabulary</t>
  </si>
  <si>
    <t>Overlaps with stronger thesis/reviews; used as corroboration.</t>
  </si>
  <si>
    <t>Bio-inspired self-healing of concrete cracks using new B. pseudomycoides species</t>
  </si>
  <si>
    <t>Primary research article</t>
  </si>
  <si>
    <t>Peer reviewed</t>
  </si>
  <si>
    <t>B. pseudomycoides HASS3 MICP crack repair; X-ray microtomography shows strong surface but weak deep healing</t>
  </si>
  <si>
    <t>0.4 mm crack mouth fully healed while deeper maximum healing ratio reported only ~14%; penetration depth must be measured</t>
  </si>
  <si>
    <t>Attached primary PDF</t>
  </si>
  <si>
    <t>Critical evidence for E02 penetration depth</t>
  </si>
  <si>
    <t>Key example of why visible closure is not equivalent to full-volume repair.</t>
  </si>
  <si>
    <t>Bio-inspired Self-Healing Electrolytes for Li-S Batteries — Choi &amp; Wang preview/commentary on Zhang et al.</t>
  </si>
  <si>
    <t>Journal preview/commentary</t>
  </si>
  <si>
    <t>Published journal item</t>
  </si>
  <si>
    <t>Fibrinolysis-inspired self-healing electrolyte; solid polysulfides dissolve into mobile phase, redistribute and re-enter electrochemical cycle</t>
  </si>
  <si>
    <t>NR13; P15</t>
  </si>
  <si>
    <t>Repair can mean remobilizing existing matter rather than adding new repair material</t>
  </si>
  <si>
    <t>https://doi.org/10.1016/j.chempr.2017.08.009</t>
  </si>
  <si>
    <t>Created NR13 phase-transfer recycling strategy</t>
  </si>
  <si>
    <t>Use as bioinspired conceptual anchor; underlying JACS study is the primary experiment.</t>
  </si>
  <si>
    <t>Bioinspired_Materials_for_Self-Cleaning_and_Self-H.pdf</t>
  </si>
  <si>
    <t>Bioinspired Materials for Self-Cleaning and Self-Healing — Youngblood &amp; Sottos</t>
  </si>
  <si>
    <t>Peer-reviewed perspective/review</t>
  </si>
  <si>
    <t>Published MRS Bulletin article</t>
  </si>
  <si>
    <t>Autonomic site-specific healing; capsules, hollow fibers, microvascular networks; mechanochemical sensing; lotus-inspired renewable functional surfaces</t>
  </si>
  <si>
    <t>NR01, NR05, NR06, NR07, NR15</t>
  </si>
  <si>
    <t>Future repair architectures should integrate sensing and circulatory delivery; scale matters</t>
  </si>
  <si>
    <t>Attached published PDF</t>
  </si>
  <si>
    <t>Foundational engineering bridge</t>
  </si>
  <si>
    <t>Used to connect biological repair logic to materials architecture.</t>
  </si>
  <si>
    <t>Development of self-healing hydrogels with new functions using nanomaterials — Lin, Li &amp; Tao</t>
  </si>
  <si>
    <t>Peer-reviewed mini-review</t>
  </si>
  <si>
    <t>Published Nano Research review</t>
  </si>
  <si>
    <t>Dynamic bond vocabulary; ECM-like balance of destruction/reconstruction; multifunctional wound, sensing, magnetic, conductive and adhesive hydrogels</t>
  </si>
  <si>
    <t>NR08, NR12, NR15; P12, P16</t>
  </si>
  <si>
    <t>Functional augmentation should be evaluated separately from mechanical healing; microenvironment responsiveness matters</t>
  </si>
  <si>
    <t>https://doi.org/10.26599/NR.2026.94908459</t>
  </si>
  <si>
    <t>Updated dynamic-network and multifunction fields</t>
  </si>
  <si>
    <t>2026 source.</t>
  </si>
  <si>
    <t>epjconf_staaar2026_05005.pdf</t>
  </si>
  <si>
    <t>Advancements and Applications of Self-Healing Concrete for Sustainable Infrastructure</t>
  </si>
  <si>
    <t>Conference review</t>
  </si>
  <si>
    <t>Autogenous, biogenic and chemical encapsulation mechanisms; infrastructure applications; repeated/continuous vascular concepts; adoption barriers</t>
  </si>
  <si>
    <t>NR05, NR06, NR11</t>
  </si>
  <si>
    <t>Crack-size range, moisture, scale-up, cost and standards constrain deployment</t>
  </si>
  <si>
    <t>https://doi.org/10.1051/epjconf/202635505005</t>
  </si>
  <si>
    <t>Translation / maturity constraints</t>
  </si>
  <si>
    <t>Review-level source; not used as sole support for mechanism.</t>
  </si>
  <si>
    <t>Efficiency of Bacteria-Based Self-Healing Mechanism in Concrete — Shabban et al.</t>
  </si>
  <si>
    <t>n/a</t>
  </si>
  <si>
    <t>Research paper / proceedings</t>
  </si>
  <si>
    <t>Status not fully identified from extracted file</t>
  </si>
  <si>
    <t>Bacillus subtilis dose/concentration effects; partial crack sealing; mechanical-property improvement</t>
  </si>
  <si>
    <t>Living-agent population and material age affect performance; source reports optimum among tested concentrations at 10^8 cells/mL</t>
  </si>
  <si>
    <t>Attached PDF</t>
  </si>
  <si>
    <t>Adds E16 viability/population dimension</t>
  </si>
  <si>
    <t>Year/publication venue not asserted because not clear in extracted page.</t>
  </si>
  <si>
    <t>Concrete’s Doctor: A Review on Self-Healing Concrete Technologies</t>
  </si>
  <si>
    <t>Published conference proceedings</t>
  </si>
  <si>
    <t>MICP pathway; spore germination under water/nutrient access; fungi as emerging mineralization network; chemical/capsule comparisons</t>
  </si>
  <si>
    <t>NR05, NR11; P06, P11</t>
  </si>
  <si>
    <t>pH/temperature/water control viability; fungi evidence remains limited; real-world standardization gaps</t>
  </si>
  <si>
    <t>Conference proceedings (ICCESD 2026)</t>
  </si>
  <si>
    <t>Adds biological-agent ecology and fungi node</t>
  </si>
  <si>
    <t>Fungi classified as emerging evidence, not mature recommendation.</t>
  </si>
  <si>
    <t>nn2c06264_si_001.pdf</t>
  </si>
  <si>
    <t>Supporting Information: Ultrahigh mechanical strength and robust room-temperature self-healing properties of polyurethane–graphene oxide network resulting from multiple dynamic bonds</t>
  </si>
  <si>
    <t>Supporting Information</t>
  </si>
  <si>
    <t>Supplemental material; not independent primary paper</t>
  </si>
  <si>
    <t>Multiple dynamic bonds / polyurethane–GO network characterization</t>
  </si>
  <si>
    <t>NR08, NR09; P12, P13</t>
  </si>
  <si>
    <t>Supporting information should not be weighted as an independent study</t>
  </si>
  <si>
    <t>Attached SI PDF</t>
  </si>
  <si>
    <t>Provenance only; supports mechanism fields</t>
  </si>
  <si>
    <t>Low–Medium standalone</t>
  </si>
  <si>
    <t>Ontology flags evidence type to avoid double-counting.</t>
  </si>
  <si>
    <t>polymers-17-00542.pdf</t>
  </si>
  <si>
    <t>Toward Intelligent Materials with the Promise of Self-Healing Hydrogels in Flexible Devices</t>
  </si>
  <si>
    <t>Published Polymers review</t>
  </si>
  <si>
    <t>Natural-organism/mussel inspiration; dynamic covalent/noncovalent hydrogels; mechanical + electrical/chemical functional recovery in flexible devices</t>
  </si>
  <si>
    <t>NR08, NR15; P12</t>
  </si>
  <si>
    <t>A repaired device must restore signal/function, not only material geometry</t>
  </si>
  <si>
    <t>https://doi.org/10.3390/polym17040542</t>
  </si>
  <si>
    <t>Strengthens function-restored ontology</t>
  </si>
  <si>
    <t>Review source.</t>
  </si>
  <si>
    <t>Peer reviewed / Nature Communications</t>
  </si>
  <si>
    <t>Aligned HAP nanowires + dynamic borate network; 97.7% reported healing while retaining high mechanical performance</t>
  </si>
  <si>
    <t>NR08, NR10; P12, P14</t>
  </si>
  <si>
    <t>Water/80°C and molecular mobility are part of healing conditions; excessive rigid phase can suppress healing</t>
  </si>
  <si>
    <t>https://doi.org/10.1038/s41467-026-72309-8</t>
  </si>
  <si>
    <t>Key exemplar for hierarchy + dynamic interface</t>
  </si>
  <si>
    <t>Directly integrated into trade-off and activation-window fields.</t>
  </si>
  <si>
    <t>s41467-026-75737-8_reference.pdf</t>
  </si>
  <si>
    <t>Primary research article — article in press version</t>
  </si>
  <si>
    <t>Accepted Nature Communications article</t>
  </si>
  <si>
    <t>Bound-water dynamic H-bond network; reversible recombination at low rates and kinetic freezing/dissociation at high rates</t>
  </si>
  <si>
    <t>NR14, NR09, NR08; P01, P12, P13</t>
  </si>
  <si>
    <t>Rate matching is a design variable; water state can control mechanical response rather than merely plasticize</t>
  </si>
  <si>
    <t>https://doi.org/10.1038/s41467-026-75737-8</t>
  </si>
  <si>
    <t>Created rate-adaptive reconfiguration logic</t>
  </si>
  <si>
    <t>Article-in-press version in attachment.</t>
  </si>
  <si>
    <t>s41598-026-52633-1.pdf</t>
  </si>
  <si>
    <t>Preparation and characterization of self-healing nanocomposite hydrogels based on chitosan/polyethylene glycol/bacterial nanocellulose for wound dressing applications</t>
  </si>
  <si>
    <t>Peer reviewed / Scientific Reports</t>
  </si>
  <si>
    <t>Dynamic chitosan/PEG network reinforced with bacterial nanocellulose; cut-and-heal rebonding; BNC improves mechanical/healing performance</t>
  </si>
  <si>
    <t>Reinforcement can improve mechanics but must preserve dynamic network and biocompatibility</t>
  </si>
  <si>
    <t>https://doi.org/10.1038/s41598-026-52633-1</t>
  </si>
  <si>
    <t>Adds biomedical composite evidence</t>
  </si>
  <si>
    <t>Biological inspiration is natural-repair framing rather than a single organism mechanism.</t>
  </si>
  <si>
    <t>s42114-026-01781-z.pdf</t>
  </si>
  <si>
    <t>Synthesis, self-healing mechanisms, and applications of intrinsic self-healing polymers and polymer composites</t>
  </si>
  <si>
    <t>Published Advanced Composites and Hybrid Materials review</t>
  </si>
  <si>
    <t>Intrinsic vs extrinsic mechanism taxonomy; dynamic covalent/supramolecular bonds; capsule/vascular delivery; strength-healing and depletion trade-offs; device functional recovery</t>
  </si>
  <si>
    <t>NR05, NR06, NR08, NR10, NR15</t>
  </si>
  <si>
    <t>Intrinsic systems need re-contact/mobility; extrinsic systems deplete; matrix healing may not repair fiber/interfacial failure</t>
  </si>
  <si>
    <t>https://doi.org/10.1007/s42114-026-01781-z</t>
  </si>
  <si>
    <t>Major engineering-mechanism constraint source</t>
  </si>
  <si>
    <t>2026 comprehensive review.</t>
  </si>
  <si>
    <t>ssrn-4118334.pdf</t>
  </si>
  <si>
    <t>Independently designed and prepared self-healing granules on self-healing efficiency for cement cracks</t>
  </si>
  <si>
    <t>Preprint</t>
  </si>
  <si>
    <t>Granules rupture when cracks form and release repair substances; water/seawater conditions affect repair</t>
  </si>
  <si>
    <t>Evidence is preprint; long-term and seawater results should remain provisional until peer reviewed</t>
  </si>
  <si>
    <t>https://ssrn.com/abstract=4118334</t>
  </si>
  <si>
    <t>Adds granule/reservoir variant with low evidence weight</t>
  </si>
  <si>
    <t>Explicitly marked preprint in PDF.</t>
  </si>
  <si>
    <t>ssrn-6487565.pdf</t>
  </si>
  <si>
    <t>Self-Healing Ionogel for Strain and Self-Generated Voltage Sensor with Restored Performance</t>
  </si>
  <si>
    <t>Reversible ionic + H-bond sacrificial interactions; reported 92.2% toughness healing after 12 h at 60°C; sensing function near restored</t>
  </si>
  <si>
    <t>NR08, NR09, NR15; P12, P13</t>
  </si>
  <si>
    <t>Mechanical and sensing recovery can be tracked separately; evidence remains pre-peer-review</t>
  </si>
  <si>
    <t>https://ssrn.com/abstract=6487565</t>
  </si>
  <si>
    <t>Adds multifunctional recovery example with low evidence weight</t>
  </si>
  <si>
    <t>Do not treat reported values as validated peer-reviewed evidence yet.</t>
  </si>
  <si>
    <t>Knowledge-graph relations for machine reasoning</t>
  </si>
  <si>
    <t>Each row is a subject–relation–object assertion with a qualifier and evidence status. These triples are the bridge from spreadsheet taxonomy to a graph/RAG reasoning layer.</t>
  </si>
  <si>
    <t>Relation ID</t>
  </si>
  <si>
    <t>Subject</t>
  </si>
  <si>
    <t>Object</t>
  </si>
  <si>
    <t>Qualifier / condition</t>
  </si>
  <si>
    <t>Reasoning implication</t>
  </si>
  <si>
    <t>Evidence basis</t>
  </si>
  <si>
    <t>Evidence type</t>
  </si>
  <si>
    <t>R001</t>
  </si>
  <si>
    <t>M01 Soft-tissue wound</t>
  </si>
  <si>
    <t>P02 Clotting</t>
  </si>
  <si>
    <t>First response</t>
  </si>
  <si>
    <t>Immediate stabilization precedes full reconstruction.</t>
  </si>
  <si>
    <t>Source-derived</t>
  </si>
  <si>
    <t>R002</t>
  </si>
  <si>
    <t>P03 Cellular response</t>
  </si>
  <si>
    <t>After hemostasis</t>
  </si>
  <si>
    <t>Damage triggers specialized recruitment/signaling.</t>
  </si>
  <si>
    <t>R003</t>
  </si>
  <si>
    <t>P16 Remodeling</t>
  </si>
  <si>
    <t>Late phase</t>
  </si>
  <si>
    <t>Repair continues after closure until tissue organization/function improves.</t>
  </si>
  <si>
    <t>Biological healing framework</t>
  </si>
  <si>
    <t>R004</t>
  </si>
  <si>
    <t>NR03 Rapid plug/seal</t>
  </si>
  <si>
    <t>NR12 Living remodeling</t>
  </si>
  <si>
    <t>When fluid loss/ingress is urgent</t>
  </si>
  <si>
    <t>A fast containment layer can buy time for slower restoration.</t>
  </si>
  <si>
    <t>Source-derived + abstraction</t>
  </si>
  <si>
    <t>R005</t>
  </si>
  <si>
    <t>NR16 Staged repair</t>
  </si>
  <si>
    <t>ORDERS</t>
  </si>
  <si>
    <t>NR03 → NR06/NR08/NR11 → NR12/NR15</t>
  </si>
  <si>
    <t>Typical biological sequence</t>
  </si>
  <si>
    <t>Strategy selection should include temporal handoff.</t>
  </si>
  <si>
    <t>R006</t>
  </si>
  <si>
    <t>P09 Compartmentalization</t>
  </si>
  <si>
    <t>When damage threatens spread</t>
  </si>
  <si>
    <t>Isolation can be a valid repair outcome even without restoring local material.</t>
  </si>
  <si>
    <t>R007</t>
  </si>
  <si>
    <t>NR02 Containment</t>
  </si>
  <si>
    <t>System-level continuity</t>
  </si>
  <si>
    <t>By sacrificing local zone</t>
  </si>
  <si>
    <t>Optimization target can be system survival rather than pristine local repair.</t>
  </si>
  <si>
    <t>R008</t>
  </si>
  <si>
    <t>M20 Abscission</t>
  </si>
  <si>
    <t>PREPARES_BEFORE</t>
  </si>
  <si>
    <t>Selective discard</t>
  </si>
  <si>
    <t>Protective layer forms before separation</t>
  </si>
  <si>
    <t>Safe failure requires boundary preparation before release.</t>
  </si>
  <si>
    <t>R009</t>
  </si>
  <si>
    <t>M17 Lotus leaf</t>
  </si>
  <si>
    <t>COMBINES</t>
  </si>
  <si>
    <t>P08 Replenishable coating + hierarchical surface</t>
  </si>
  <si>
    <t>Surface function</t>
  </si>
  <si>
    <t>Repair/prevention can combine renewable chemistry and geometry.</t>
  </si>
  <si>
    <t>R010</t>
  </si>
  <si>
    <t>NR05 Reservoir release</t>
  </si>
  <si>
    <t>Finite payload</t>
  </si>
  <si>
    <t>At a given location</t>
  </si>
  <si>
    <t>One-shot delivery should not be chosen for high recurrence without redundancy/replenishment.</t>
  </si>
  <si>
    <t>R011</t>
  </si>
  <si>
    <t>NR06 Vascular transport</t>
  </si>
  <si>
    <t>CAN_REPLENISH</t>
  </si>
  <si>
    <t>Repair resources</t>
  </si>
  <si>
    <t>If connected to reservoir/external source</t>
  </si>
  <si>
    <t>Network architecture can support repeated local repair.</t>
  </si>
  <si>
    <t>R012</t>
  </si>
  <si>
    <t>Network integrity / blockage</t>
  </si>
  <si>
    <t>If damage severs channel</t>
  </si>
  <si>
    <t>Repair infrastructure itself needs robustness/redundancy.</t>
  </si>
  <si>
    <t>R013</t>
  </si>
  <si>
    <t>NR08 Dynamic rebond</t>
  </si>
  <si>
    <t>Molecular mobility + surface re-contact</t>
  </si>
  <si>
    <t>Especially for large damage</t>
  </si>
  <si>
    <t>Intrinsic healing may fail when crack faces cannot align or chains cannot move.</t>
  </si>
  <si>
    <t>R014</t>
  </si>
  <si>
    <t>TRADEOFF_WITH</t>
  </si>
  <si>
    <t>High stiffness / dense reinforcement</t>
  </si>
  <si>
    <t>Unless hierarchy separates roles</t>
  </si>
  <si>
    <t>Strength can suppress mobility and healing.</t>
  </si>
  <si>
    <t>s41467-026-72309-8.pdf; s42114 review</t>
  </si>
  <si>
    <t>R015</t>
  </si>
  <si>
    <t>NR10 Hierarchical crack control</t>
  </si>
  <si>
    <t>Hard reinforcement + dynamic interphase</t>
  </si>
  <si>
    <t>Separate load bearing and healing across scales.</t>
  </si>
  <si>
    <t>R016</t>
  </si>
  <si>
    <t>NR09 Sacrificial recovery</t>
  </si>
  <si>
    <t>PROTECTS</t>
  </si>
  <si>
    <t>Primary load-bearing network</t>
  </si>
  <si>
    <t>During high load</t>
  </si>
  <si>
    <t>Resettable weak links dissipate energy before catastrophic backbone failure.</t>
  </si>
  <si>
    <t>Mussel/tough-material literature</t>
  </si>
  <si>
    <t>R017</t>
  </si>
  <si>
    <t>M10 Tooth enamel analogue</t>
  </si>
  <si>
    <t>NR10 + NR08</t>
  </si>
  <si>
    <t>2026 composite</t>
  </si>
  <si>
    <t>Aligned HAP network carries load while dynamic borate interphase repairs.</t>
  </si>
  <si>
    <t>R018</t>
  </si>
  <si>
    <t>Water + elevated temperature in experiment</t>
  </si>
  <si>
    <t>For reported healing condition</t>
  </si>
  <si>
    <t>Activation conditions must be stored with performance numbers.</t>
  </si>
  <si>
    <t>R019</t>
  </si>
  <si>
    <t>Excess HAP / reduced chain mobility</t>
  </si>
  <si>
    <t>High reinforcement loading</t>
  </si>
  <si>
    <t>More reinforcement is not monotonically better for healing.</t>
  </si>
  <si>
    <t>R020</t>
  </si>
  <si>
    <t>M24 Microbial MICP</t>
  </si>
  <si>
    <t>P11 Biomineralization</t>
  </si>
  <si>
    <t>Crack environment</t>
  </si>
  <si>
    <t>Metabolism/chemistry creates carbonate mineral in defect.</t>
  </si>
  <si>
    <t>R021</t>
  </si>
  <si>
    <t>Water + suitable nutrients/ions</t>
  </si>
  <si>
    <t>Pathway-specific</t>
  </si>
  <si>
    <t>Living repair feasibility is governed by local ecology/resources.</t>
  </si>
  <si>
    <t>R022</t>
  </si>
  <si>
    <t>M25 S. pasteurii</t>
  </si>
  <si>
    <t>IS_A</t>
  </si>
  <si>
    <t>Ureolytic MICP agent</t>
  </si>
  <si>
    <t>Concrete repair</t>
  </si>
  <si>
    <t>Ureolysis is one high-yield pathway, not the ontology itself.</t>
  </si>
  <si>
    <t>R023</t>
  </si>
  <si>
    <t>M26 S. cohnii</t>
  </si>
  <si>
    <t>DEMONSTRATES</t>
  </si>
  <si>
    <t>External biobased repair</t>
  </si>
  <si>
    <t>Surface-applied</t>
  </si>
  <si>
    <t>Same biological mechanism can exist in a human-applied repair mode.</t>
  </si>
  <si>
    <t>R024</t>
  </si>
  <si>
    <t>External healing mode</t>
  </si>
  <si>
    <t>Strict RILEM self-healing</t>
  </si>
  <si>
    <t>When agent is manually applied after damage</t>
  </si>
  <si>
    <t>Intervention mode must be stored separately from biological mechanism.</t>
  </si>
  <si>
    <t>R025</t>
  </si>
  <si>
    <t>Self-sealing</t>
  </si>
  <si>
    <t>Mechanical self-healing</t>
  </si>
  <si>
    <t>If strength is not recovered</t>
  </si>
  <si>
    <t>Function restored must be explicitly named.</t>
  </si>
  <si>
    <t>R026</t>
  </si>
  <si>
    <t>Full-depth healing</t>
  </si>
  <si>
    <t>Deep cracks</t>
  </si>
  <si>
    <t>Geometry/depth metrics are first-class evidence.</t>
  </si>
  <si>
    <t>R027</t>
  </si>
  <si>
    <t>M27 B. pseudomycoides</t>
  </si>
  <si>
    <t>Surface-biased mineralization</t>
  </si>
  <si>
    <t>0.4 mm crack example</t>
  </si>
  <si>
    <t>Repair-resource access can decay strongly with depth.</t>
  </si>
  <si>
    <t>R028</t>
  </si>
  <si>
    <t>M30 Algae</t>
  </si>
  <si>
    <t>Light + CO2 + moisture</t>
  </si>
  <si>
    <t>Photosynthetic system</t>
  </si>
  <si>
    <t>Resource accessibility must match damage location.</t>
  </si>
  <si>
    <t>R029</t>
  </si>
  <si>
    <t>Opaque/internal crack geometry</t>
  </si>
  <si>
    <t>No light at depth</t>
  </si>
  <si>
    <t>Do not transfer a biological agent beyond its ecological operating window.</t>
  </si>
  <si>
    <t>R030</t>
  </si>
  <si>
    <t>M29 Fungi</t>
  </si>
  <si>
    <t>MAY_SUPPORT</t>
  </si>
  <si>
    <t>NR11 Biomineralization</t>
  </si>
  <si>
    <t>Emerging concrete evidence</t>
  </si>
  <si>
    <t>Mycelial network can add nucleation sites and harsh-environment tolerance.</t>
  </si>
  <si>
    <t>ICCESD 2026 review</t>
  </si>
  <si>
    <t>Review-derived</t>
  </si>
  <si>
    <t>R031</t>
  </si>
  <si>
    <t>Barrier / permeability</t>
  </si>
  <si>
    <t>Often before or more strongly than mechanics</t>
  </si>
  <si>
    <t>Mineral filling can be valuable even when strength recovery is incomplete.</t>
  </si>
  <si>
    <t>Concrete sources</t>
  </si>
  <si>
    <t>R032</t>
  </si>
  <si>
    <t>E01+E02+E03+E04</t>
  </si>
  <si>
    <t>Concrete crack systems</t>
  </si>
  <si>
    <t>Use geometry, depth, permeability and mechanics together.</t>
  </si>
  <si>
    <t>Multiple attached sources</t>
  </si>
  <si>
    <t>R033</t>
  </si>
  <si>
    <t>M03 Fibrinolysis analogue</t>
  </si>
  <si>
    <t>NR13 Dissolve→redistribute→redeploy</t>
  </si>
  <si>
    <t>Li–S electrolyte</t>
  </si>
  <si>
    <t>Repair can recycle trapped matter into a mobile pool.</t>
  </si>
  <si>
    <t>Li-S 2017 PDF</t>
  </si>
  <si>
    <t>R034</t>
  </si>
  <si>
    <t>NR13 Phase-transfer recycling</t>
  </si>
  <si>
    <t>Electrochemical capacity / cycling</t>
  </si>
  <si>
    <t>Battery example</t>
  </si>
  <si>
    <t>Function restoration need not involve crack closure.</t>
  </si>
  <si>
    <t>R035</t>
  </si>
  <si>
    <t>M14 / bound-water adaptive network</t>
  </si>
  <si>
    <t>NR14 Adaptive reconfiguration</t>
  </si>
  <si>
    <t>Rate-sensitive response</t>
  </si>
  <si>
    <t>Bond kinetics can make a material soft under slow use and dissipative/stiff under fast loading.</t>
  </si>
  <si>
    <t>R036</t>
  </si>
  <si>
    <t>DEPENDS_ON</t>
  </si>
  <si>
    <t>Disturbance timescale vs bond kinetics</t>
  </si>
  <si>
    <t>Rate threshold</t>
  </si>
  <si>
    <t>A useful mechanism must respond within the event timescale.</t>
  </si>
  <si>
    <t>R037</t>
  </si>
  <si>
    <t>NR15 Sense→signal→repair</t>
  </si>
  <si>
    <t>MUST_VERIFY</t>
  </si>
  <si>
    <t>Signal-path recovery</t>
  </si>
  <si>
    <t>Device applications</t>
  </si>
  <si>
    <t>Sensing function can recover differently from mechanics.</t>
  </si>
  <si>
    <t>polymers-17-00542.pdf; ssrn-6487565.pdf</t>
  </si>
  <si>
    <t>R038</t>
  </si>
  <si>
    <t>NR06 / NR08</t>
  </si>
  <si>
    <t>Closed-loop systems</t>
  </si>
  <si>
    <t>Detection without access to repair resources is incomplete architecture.</t>
  </si>
  <si>
    <t>MRS 2008; ontology synthesis</t>
  </si>
  <si>
    <t>R039</t>
  </si>
  <si>
    <t>REDUCES_TRADEOFF</t>
  </si>
  <si>
    <t>Speed vs completeness</t>
  </si>
  <si>
    <t>By separating phases</t>
  </si>
  <si>
    <t>Fast seal and slow structural restoration need not use same chemistry.</t>
  </si>
  <si>
    <t>322753.pdf; 2026 time-gradient paper</t>
  </si>
  <si>
    <t>R040</t>
  </si>
  <si>
    <t>NR03 Rapid seal</t>
  </si>
  <si>
    <t>CAN_CONFLICT_WITH</t>
  </si>
  <si>
    <t>NR06 / NR11 deep repair</t>
  </si>
  <si>
    <t>If seal blocks later transport</t>
  </si>
  <si>
    <t>Early-phase design must preserve access for later reconstruction.</t>
  </si>
  <si>
    <t>R041</t>
  </si>
  <si>
    <t>NR07 Layer/renew/shed</t>
  </si>
  <si>
    <t>ALTERNATIVE_TO</t>
  </si>
  <si>
    <t>Local patch repair</t>
  </si>
  <si>
    <t>For high-frequency surface wear</t>
  </si>
  <si>
    <t>Replacement can be more efficient than repeated defect-level healing.</t>
  </si>
  <si>
    <t>R042</t>
  </si>
  <si>
    <t>NR01 Protective barrier</t>
  </si>
  <si>
    <t>NR07 Layer renewal</t>
  </si>
  <si>
    <t>Renewable surface</t>
  </si>
  <si>
    <t>A barrier is more durable when its function can be replenished.</t>
  </si>
  <si>
    <t>R043</t>
  </si>
  <si>
    <t>Unrepairable reinforcement/fiber failure</t>
  </si>
  <si>
    <t>Composite damage</t>
  </si>
  <si>
    <t>Healing only the matrix may not restore failed load-bearing reinforcement.</t>
  </si>
  <si>
    <t>R044</t>
  </si>
  <si>
    <t>CAN_BE_TRIGGERED_BY</t>
  </si>
  <si>
    <t>pH / chloride / temperature / moisture / EM</t>
  </si>
  <si>
    <t>Smart capsule shell</t>
  </si>
  <si>
    <t>Damage/environment-specific release can reduce premature reaction.</t>
  </si>
  <si>
    <t>R045</t>
  </si>
  <si>
    <t>M28 B. subtilis</t>
  </si>
  <si>
    <t>Agent concentration / age</t>
  </si>
  <si>
    <t>Concrete mix</t>
  </si>
  <si>
    <t>Biological population is a material-design variable.</t>
  </si>
  <si>
    <t>Ibrahim Galal Ibrahim Shaaban PDF</t>
  </si>
  <si>
    <t>R046</t>
  </si>
  <si>
    <t>M26 S. cohnii external repair</t>
  </si>
  <si>
    <t>Nutrient medium + application method</t>
  </si>
  <si>
    <t>YEB vs TSB examples</t>
  </si>
  <si>
    <t>Microenvironment formulation can matter as much as organism identity.</t>
  </si>
  <si>
    <t>R047</t>
  </si>
  <si>
    <t>Visible precipitation</t>
  </si>
  <si>
    <t>CAN_DIVERGE_FROM</t>
  </si>
  <si>
    <t>Pore-structure improvement</t>
  </si>
  <si>
    <t>External MICP experiments</t>
  </si>
  <si>
    <t>One measurement modality may not capture system effect.</t>
  </si>
  <si>
    <t>R048</t>
  </si>
  <si>
    <t>All strategies</t>
  </si>
  <si>
    <t>MUST_DECLARE</t>
  </si>
  <si>
    <t>Evidence type + peer-review status</t>
  </si>
  <si>
    <t>Before ranking</t>
  </si>
  <si>
    <t>Preprints/SI should receive lower evidence weight than validated primary studies.</t>
  </si>
  <si>
    <t>Ontology governance</t>
  </si>
  <si>
    <t>R049</t>
  </si>
  <si>
    <t>Before computing healing efficiency</t>
  </si>
  <si>
    <t>Generic healing % without denominator/metric is not comparable.</t>
  </si>
  <si>
    <t>van der Bergh terminology + ontology synthesis</t>
  </si>
  <si>
    <t>High-level rule</t>
  </si>
  <si>
    <t>R050</t>
  </si>
  <si>
    <t>Trigger + recovery conditions</t>
  </si>
  <si>
    <t>With quantitative performance</t>
  </si>
  <si>
    <t>A reported recovery is meaningful only under the stated activation environment.</t>
  </si>
  <si>
    <t>Enamel / polymer / concrete sources</t>
  </si>
  <si>
    <t>Repair sub-strategies → main ontology vocabulary</t>
  </si>
  <si>
    <t>Do NOT rename S1–S10. They are more precise than the main ontology and that precision is the asset. This sheet is the bridge that lets retrieval reach them.</t>
  </si>
  <si>
    <t>Repair sub-strategy (keep as is)</t>
  </si>
  <si>
    <t>S1</t>
  </si>
  <si>
    <t>S2</t>
  </si>
  <si>
    <t>S3</t>
  </si>
  <si>
    <t>S4</t>
  </si>
  <si>
    <t>S5</t>
  </si>
  <si>
    <t>S6</t>
  </si>
  <si>
    <t>S7</t>
  </si>
  <si>
    <t>Hierarchical confinement / crack deflection</t>
  </si>
  <si>
    <t>S8</t>
  </si>
  <si>
    <t>S9</t>
  </si>
  <si>
    <t>S10</t>
  </si>
  <si>
    <t>Adaptive remodeling / living repair</t>
  </si>
  <si>
    <t>Why bridge instead of rename</t>
  </si>
  <si>
    <t>The precision is the asset</t>
  </si>
  <si>
    <t>'Dynamic rebonding' says more than 'renewal'. Renaming S1–S10 to generic ontology terms would flatten a specialist vocabulary into a general one and lose the very thing that makes this set valuable.</t>
  </si>
  <si>
    <t>Retrieval needs both</t>
  </si>
  <si>
    <t>The engine reasons in ontology vocabulary. A founder's challenge maps to a function like Strength or Renewal. Without the bridge, none of these 60 papers can be reached from that starting point.</t>
  </si>
  <si>
    <t>This is the repository rule</t>
  </si>
  <si>
    <t>Every entry links back to the ontology, which is the index. The bridge is how that rule is satisfied without damaging the sub-ontology.</t>
  </si>
  <si>
    <t>Two things to confirm</t>
  </si>
  <si>
    <t>Exact term match</t>
  </si>
  <si>
    <t>The ontology names in columns C–E must match your main ontology spelling exactly, in whichever language the ontology is canonical. If the ontology is Hebrew, translate these three columns to the Hebrew terms — a near-match will not retrieve.</t>
  </si>
  <si>
    <t>One-to-many is expected</t>
  </si>
  <si>
    <t>Several sub-strategies map to the same function (S4, S5 and S9 all sit under Renewal). That is correct — it means the ontology function is the general case and the sub-strategy is the specific mechanism beneath it.</t>
  </si>
  <si>
    <t>Maturity — how to fill it</t>
  </si>
  <si>
    <t>Why it was added</t>
  </si>
  <si>
    <t>'Engineering implementation' says what was built. It does not say whether that was one sample in a lab, a pilot line, or a running production process — nor what blocks scale-up. For a founder planning timelines and fundraising, that difference is worth months.</t>
  </si>
  <si>
    <t>The five levels</t>
  </si>
  <si>
    <t>Lab-scale</t>
  </si>
  <si>
    <t>Demonstrated in a paper, single samples, controlled conditions. Unknown whether it survives manufacture.</t>
  </si>
  <si>
    <t>Pilot / scaled demo</t>
  </si>
  <si>
    <t>Larger batches or a pilot line. Not commercial.</t>
  </si>
  <si>
    <t>In production</t>
  </si>
  <si>
    <t>Someone manufactures with it today. Always name WHICH industry — mature in food packaging can be lab-scale in medical devices.</t>
  </si>
  <si>
    <t>Commodity</t>
  </si>
  <si>
    <t>Several suppliers, standard equipment, known price.</t>
  </si>
  <si>
    <t>The row anchors a natural mechanism, not an engineered system. Maturity does not apply.</t>
  </si>
  <si>
    <t>Two mandatory companions</t>
  </si>
  <si>
    <t>What the level rests on: a single paper, several groups, a patent, a reported pilot line, or a product on sale. 'One 2023 paper' and 'three companies manufacturing' are different confidence levels entirely.</t>
  </si>
  <si>
    <t>The specific barrier: yield, rate, uniformity, equipment cost, feedstock availability, or regulatory approval. One sentence. This is what turns maturity from information into action.</t>
  </si>
  <si>
    <t>Read this before trusting the column</t>
  </si>
  <si>
    <t>Most values are INFERRED, not verified</t>
  </si>
  <si>
    <t>Rows marked 'Lab-scale (assumed)' were inferred from the type of paper, not confirmed by research. They are shaded red and marked [VERIFY]. Do not let the engine present an inferred level as a checked one.</t>
  </si>
  <si>
    <t>Guessing here is expensive</t>
  </si>
  <si>
    <t>A founder plans timelines and fundraising on maturity. An unverified guess presented confidently is the failure mode most likely to lose a technical founder's trust. 'Searched, did not resolve' is a legitimate value and is in the dropdown.</t>
  </si>
  <si>
    <t>Discussion volume is not maturity</t>
  </si>
  <si>
    <t>A widely discussed technique sounds closer to production than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</si>
</sst>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amily val="2"/>
    </font>
    <font>
      <sz val="11"/>
      <name val="Calibri"/>
      <charset val="1"/>
    </font>
    <font>
      <b/>
      <sz val="18"/>
      <color rgb="FFFFFFFF"/>
      <name val="Calibri"/>
      <charset val="1"/>
    </font>
    <font>
      <b/>
      <sz val="12"/>
      <color rgb="FFFFFFFF"/>
      <name val="Calibri"/>
      <charset val="1"/>
    </font>
    <font>
      <i/>
      <sz val="10"/>
      <color rgb="FF244A54"/>
      <name val="Calibri"/>
      <charset val="1"/>
    </font>
    <font>
      <b/>
      <sz val="11"/>
      <color rgb="FFFFFFFF"/>
      <name val="Calibri"/>
      <charset val="1"/>
    </font>
    <font>
      <sz val="10"/>
      <color rgb="FF17333A"/>
      <name val="Calibri"/>
      <charset val="1"/>
    </font>
    <font>
      <b/>
      <sz val="11"/>
      <color rgb="FF123B4A"/>
      <name val="Calibri"/>
      <charset val="1"/>
    </font>
    <font>
      <b/>
      <sz val="10"/>
      <color rgb="FF174C59"/>
      <name val="Calibri"/>
      <charset val="1"/>
    </font>
    <font>
      <b/>
      <sz val="10"/>
      <color rgb="FF17333A"/>
      <name val="Calibri"/>
      <charset val="1"/>
    </font>
    <font>
      <i/>
      <sz val="9"/>
      <color rgb="FF4A5A5F"/>
      <name val="Calibri"/>
      <charset val="1"/>
    </font>
    <font>
      <b/>
      <sz val="10"/>
      <color rgb="FFFFFFFF"/>
      <name val="Arial"/>
      <charset val="1"/>
    </font>
    <font>
      <b/>
      <sz val="10"/>
      <color rgb="FF085041"/>
      <name val="Arial"/>
      <charset val="1"/>
    </font>
    <font>
      <sz val="11"/>
      <color rgb="FF0B63A5"/>
      <name val="Calibri"/>
      <charset val="1"/>
    </font>
    <font>
      <sz val="10"/>
      <color rgb="FF2C2C2A"/>
      <name val="Arial"/>
      <charset val="1"/>
    </font>
    <font>
      <b/>
      <sz val="16"/>
      <color rgb="FFFFFFFF"/>
      <name val="Calibri"/>
      <charset val="1"/>
    </font>
    <font>
      <i/>
      <sz val="11"/>
      <color rgb="FF244A54"/>
      <name val="Calibri"/>
      <charset val="1"/>
    </font>
    <font>
      <b/>
      <sz val="15"/>
      <color rgb="FFFFFFFF"/>
      <name val="Calibri"/>
      <charset val="1"/>
    </font>
    <font>
      <b/>
      <sz val="13"/>
      <color rgb="FF085041"/>
      <name val="Arial"/>
      <charset val="1"/>
    </font>
    <font>
      <i/>
      <sz val="10"/>
      <color rgb="FF6F6F67"/>
      <name val="Arial"/>
      <charset val="1"/>
    </font>
    <font>
      <b/>
      <sz val="10"/>
      <color rgb="FF2C2C2A"/>
      <name val="Arial"/>
      <charset val="1"/>
    </font>
  </fonts>
  <fills count="17">
    <fill>
      <patternFill patternType="none"/>
    </fill>
    <fill>
      <patternFill patternType="gray125"/>
    </fill>
    <fill>
      <patternFill patternType="solid">
        <fgColor rgb="FF123F4A"/>
        <bgColor rgb="FF123B4A"/>
      </patternFill>
    </fill>
    <fill>
      <patternFill patternType="solid">
        <fgColor rgb="FFEAF3F5"/>
        <bgColor rgb="FFEAF6F1"/>
      </patternFill>
    </fill>
    <fill>
      <patternFill patternType="solid">
        <fgColor rgb="FF2E6F7E"/>
        <bgColor rgb="FF4A5A5F"/>
      </patternFill>
    </fill>
    <fill>
      <patternFill patternType="solid">
        <fgColor rgb="FFFFFFFF"/>
        <bgColor rgb="FFF0F8F4"/>
      </patternFill>
    </fill>
    <fill>
      <patternFill patternType="solid">
        <fgColor rgb="FFEEF1F3"/>
        <bgColor rgb="FFEAF3F5"/>
      </patternFill>
    </fill>
    <fill>
      <patternFill patternType="solid">
        <fgColor rgb="FF123B4A"/>
        <bgColor rgb="FF123F4A"/>
      </patternFill>
    </fill>
    <fill>
      <patternFill patternType="solid">
        <fgColor rgb="FF085041"/>
        <bgColor rgb="FF174C59"/>
      </patternFill>
    </fill>
    <fill>
      <patternFill patternType="solid">
        <fgColor rgb="FFC9E9DD"/>
        <bgColor rgb="FFE1F5EE"/>
      </patternFill>
    </fill>
    <fill>
      <patternFill patternType="solid">
        <fgColor rgb="FFEAF0FB"/>
        <bgColor rgb="FFEAF3F5"/>
      </patternFill>
    </fill>
    <fill>
      <patternFill patternType="solid">
        <fgColor rgb="FFFCEBEB"/>
        <bgColor rgb="FFEEF1F3"/>
      </patternFill>
    </fill>
    <fill>
      <patternFill patternType="solid">
        <fgColor rgb="FFEAF6F1"/>
        <bgColor rgb="FFEAF3F5"/>
      </patternFill>
    </fill>
    <fill>
      <patternFill patternType="solid">
        <fgColor rgb="FFF0F8F4"/>
        <bgColor rgb="FFEAF6F1"/>
      </patternFill>
    </fill>
    <fill>
      <patternFill patternType="solid">
        <fgColor rgb="FFFFF3CD"/>
        <bgColor rgb="FFFCEBEB"/>
      </patternFill>
    </fill>
    <fill>
      <patternFill patternType="solid">
        <fgColor rgb="FF1D9E75"/>
        <bgColor rgb="FF2E6F7E"/>
      </patternFill>
    </fill>
    <fill>
      <patternFill patternType="solid">
        <fgColor rgb="FFE1F5EE"/>
        <bgColor rgb="FFEAF6F1"/>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2">
    <xf numFmtId="0" fontId="0" fillId="0" borderId="0"/>
    <xf numFmtId="0" fontId="1" fillId="0" borderId="0"/>
  </cellStyleXfs>
  <cellXfs count="48">
    <xf numFmtId="0" fontId="0" fillId="0" borderId="0" xfId="0"/>
    <xf numFmtId="0" fontId="14" fillId="0" borderId="1" xfId="1" applyFont="1" applyBorder="1" applyAlignment="1">
      <alignment horizontal="left" vertical="top" wrapText="1"/>
    </xf>
    <xf numFmtId="0" fontId="11" fillId="15" borderId="1" xfId="1" applyFont="1" applyFill="1" applyBorder="1" applyAlignment="1">
      <alignment horizontal="left" vertical="top" wrapText="1"/>
    </xf>
    <xf numFmtId="0" fontId="19" fillId="0" borderId="0" xfId="1" applyFont="1" applyBorder="1"/>
    <xf numFmtId="0" fontId="17" fillId="2" borderId="0" xfId="1" applyFont="1" applyFill="1" applyBorder="1" applyAlignment="1">
      <alignment vertical="center" wrapText="1"/>
    </xf>
    <xf numFmtId="0" fontId="16" fillId="3" borderId="0" xfId="1" applyFont="1" applyFill="1" applyBorder="1" applyAlignment="1">
      <alignment wrapText="1"/>
    </xf>
    <xf numFmtId="0" fontId="15" fillId="2" borderId="0" xfId="1" applyFont="1" applyFill="1" applyBorder="1" applyAlignment="1">
      <alignment vertical="center" wrapText="1"/>
    </xf>
    <xf numFmtId="0" fontId="10" fillId="6" borderId="0" xfId="1" applyFont="1" applyFill="1" applyBorder="1" applyAlignment="1">
      <alignment wrapText="1"/>
    </xf>
    <xf numFmtId="0" fontId="3" fillId="2" borderId="0" xfId="1" applyFont="1" applyFill="1" applyBorder="1" applyAlignment="1">
      <alignment horizontal="center" vertical="center" wrapText="1"/>
    </xf>
    <xf numFmtId="0" fontId="4" fillId="3" borderId="0" xfId="1" applyFont="1" applyFill="1" applyBorder="1" applyAlignment="1">
      <alignment vertical="center" wrapText="1"/>
    </xf>
    <xf numFmtId="0" fontId="3" fillId="2" borderId="0" xfId="1" applyFont="1" applyFill="1" applyBorder="1" applyAlignment="1">
      <alignment vertical="center" wrapText="1"/>
    </xf>
    <xf numFmtId="0" fontId="2" fillId="2" borderId="0" xfId="1" applyFont="1" applyFill="1" applyBorder="1" applyAlignment="1">
      <alignment horizontal="left" vertical="center" wrapText="1"/>
    </xf>
    <xf numFmtId="0" fontId="1" fillId="0" borderId="0" xfId="1" applyBorder="1"/>
    <xf numFmtId="0" fontId="2" fillId="2" borderId="0" xfId="1" applyFont="1" applyFill="1" applyBorder="1" applyAlignment="1">
      <alignment horizontal="left" vertical="center" wrapText="1"/>
    </xf>
    <xf numFmtId="0" fontId="5" fillId="4" borderId="0" xfId="1" applyFont="1" applyFill="1" applyBorder="1" applyAlignment="1">
      <alignment horizontal="center" vertical="center" wrapText="1"/>
    </xf>
    <xf numFmtId="0" fontId="6" fillId="0" borderId="0" xfId="1" applyFont="1" applyBorder="1" applyAlignment="1">
      <alignment vertical="top" wrapText="1"/>
    </xf>
    <xf numFmtId="1" fontId="6" fillId="0" borderId="0" xfId="1" applyNumberFormat="1" applyFont="1" applyBorder="1" applyAlignment="1">
      <alignment vertical="top" wrapText="1"/>
    </xf>
    <xf numFmtId="0" fontId="1" fillId="0" borderId="0" xfId="1" applyBorder="1" applyAlignment="1">
      <alignment vertical="top" wrapText="1"/>
    </xf>
    <xf numFmtId="0" fontId="7" fillId="0" borderId="0" xfId="1" applyFont="1" applyBorder="1" applyAlignment="1">
      <alignment horizontal="center" vertical="center" wrapText="1"/>
    </xf>
    <xf numFmtId="0" fontId="1" fillId="0" borderId="0" xfId="1" applyBorder="1" applyAlignment="1">
      <alignment wrapText="1"/>
    </xf>
    <xf numFmtId="0" fontId="8" fillId="5" borderId="0" xfId="1" applyFont="1" applyFill="1" applyBorder="1" applyAlignment="1">
      <alignment vertical="top" wrapText="1"/>
    </xf>
    <xf numFmtId="0" fontId="6" fillId="5" borderId="0" xfId="1" applyFont="1" applyFill="1" applyBorder="1" applyAlignment="1">
      <alignment vertical="top" wrapText="1"/>
    </xf>
    <xf numFmtId="0" fontId="7" fillId="0" borderId="0" xfId="1" applyFont="1" applyBorder="1" applyAlignment="1">
      <alignment vertical="top" wrapText="1"/>
    </xf>
    <xf numFmtId="1" fontId="6" fillId="5" borderId="0" xfId="1" applyNumberFormat="1" applyFont="1" applyFill="1" applyBorder="1" applyAlignment="1">
      <alignment horizontal="center" vertical="top" wrapText="1"/>
    </xf>
    <xf numFmtId="0" fontId="9" fillId="5" borderId="0" xfId="1" applyFont="1" applyFill="1" applyBorder="1" applyAlignment="1">
      <alignment vertical="top" wrapText="1"/>
    </xf>
    <xf numFmtId="0" fontId="8" fillId="5" borderId="0" xfId="1" applyFont="1" applyFill="1" applyBorder="1" applyAlignment="1">
      <alignment horizontal="center" vertical="top" wrapText="1"/>
    </xf>
    <xf numFmtId="0" fontId="9" fillId="5" borderId="0" xfId="1" applyFont="1" applyFill="1" applyBorder="1" applyAlignment="1">
      <alignment horizontal="center" vertical="top" wrapText="1"/>
    </xf>
    <xf numFmtId="0" fontId="5" fillId="7" borderId="0" xfId="1" applyFont="1" applyFill="1" applyBorder="1" applyAlignment="1">
      <alignment horizontal="center" vertical="center" wrapText="1"/>
    </xf>
    <xf numFmtId="0" fontId="11" fillId="8" borderId="1" xfId="1" applyFont="1" applyFill="1" applyBorder="1" applyAlignment="1">
      <alignment horizontal="center" vertical="center" wrapText="1"/>
    </xf>
    <xf numFmtId="0" fontId="12" fillId="9" borderId="1" xfId="1" applyFont="1" applyFill="1" applyBorder="1" applyAlignment="1">
      <alignment horizontal="center" vertical="center" wrapText="1"/>
    </xf>
    <xf numFmtId="0" fontId="1" fillId="0" borderId="0" xfId="1" applyFont="1" applyBorder="1" applyAlignment="1">
      <alignment horizontal="center" vertical="top" wrapText="1"/>
    </xf>
    <xf numFmtId="0" fontId="13" fillId="0" borderId="0" xfId="1" applyFont="1" applyBorder="1" applyAlignment="1">
      <alignment vertical="top" wrapText="1"/>
    </xf>
    <xf numFmtId="0" fontId="14" fillId="10" borderId="1" xfId="1" applyFont="1" applyFill="1" applyBorder="1" applyAlignment="1">
      <alignment horizontal="left" vertical="top" wrapText="1"/>
    </xf>
    <xf numFmtId="0" fontId="14" fillId="11" borderId="1" xfId="1" applyFont="1" applyFill="1" applyBorder="1" applyAlignment="1">
      <alignment horizontal="left" vertical="top" wrapText="1"/>
    </xf>
    <xf numFmtId="0" fontId="14" fillId="12" borderId="1" xfId="1" applyFont="1" applyFill="1" applyBorder="1" applyAlignment="1">
      <alignment horizontal="left" vertical="top" wrapText="1"/>
    </xf>
    <xf numFmtId="0" fontId="15" fillId="2" borderId="0" xfId="1" applyFont="1" applyFill="1" applyBorder="1" applyAlignment="1">
      <alignment vertical="center" wrapText="1"/>
    </xf>
    <xf numFmtId="0" fontId="8" fillId="0" borderId="0" xfId="1" applyFont="1" applyBorder="1" applyAlignment="1">
      <alignment vertical="top" wrapText="1"/>
    </xf>
    <xf numFmtId="0" fontId="8" fillId="13" borderId="0" xfId="1" applyFont="1" applyFill="1" applyBorder="1" applyAlignment="1">
      <alignment vertical="top" wrapText="1"/>
    </xf>
    <xf numFmtId="0" fontId="6" fillId="13" borderId="0" xfId="1" applyFont="1" applyFill="1" applyBorder="1" applyAlignment="1">
      <alignment vertical="top" wrapText="1"/>
    </xf>
    <xf numFmtId="0" fontId="8" fillId="14" borderId="0" xfId="1" applyFont="1" applyFill="1" applyBorder="1" applyAlignment="1">
      <alignment vertical="top" wrapText="1"/>
    </xf>
    <xf numFmtId="0" fontId="6" fillId="14" borderId="0" xfId="1" applyFont="1" applyFill="1" applyBorder="1" applyAlignment="1">
      <alignment vertical="top" wrapText="1"/>
    </xf>
    <xf numFmtId="0" fontId="18" fillId="0" borderId="0" xfId="1" applyFont="1" applyBorder="1"/>
    <xf numFmtId="0" fontId="11" fillId="15" borderId="1" xfId="1" applyFont="1" applyFill="1" applyBorder="1" applyAlignment="1">
      <alignment horizontal="center" vertical="center" wrapText="1"/>
    </xf>
    <xf numFmtId="0" fontId="20" fillId="16" borderId="1" xfId="1" applyFont="1" applyFill="1" applyBorder="1" applyAlignment="1">
      <alignment horizontal="left" vertical="top" wrapText="1"/>
    </xf>
    <xf numFmtId="0" fontId="14" fillId="5" borderId="1" xfId="1" applyFont="1" applyFill="1" applyBorder="1" applyAlignment="1">
      <alignment horizontal="left" vertical="top" wrapText="1"/>
    </xf>
    <xf numFmtId="0" fontId="11" fillId="15" borderId="1" xfId="1" applyFont="1" applyFill="1" applyBorder="1" applyAlignment="1">
      <alignment horizontal="left" vertical="top" wrapText="1"/>
    </xf>
    <xf numFmtId="0" fontId="12" fillId="16" borderId="1" xfId="1" applyFont="1" applyFill="1" applyBorder="1" applyAlignment="1">
      <alignment horizontal="left" vertical="top" wrapText="1"/>
    </xf>
    <xf numFmtId="0" fontId="14" fillId="0" borderId="1" xfId="1" applyFont="1" applyBorder="1" applyAlignment="1">
      <alignment horizontal="left" vertical="top"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74C59"/>
      <rgbColor rgb="FF000080"/>
      <rgbColor rgb="FF808000"/>
      <rgbColor rgb="FF800080"/>
      <rgbColor rgb="FF2E6F7E"/>
      <rgbColor rgb="FFBBBBBB"/>
      <rgbColor rgb="FF6F6F67"/>
      <rgbColor rgb="FF9999FF"/>
      <rgbColor rgb="FF993366"/>
      <rgbColor rgb="FFFFF3CD"/>
      <rgbColor rgb="FFE1F5EE"/>
      <rgbColor rgb="FF660066"/>
      <rgbColor rgb="FFFF8080"/>
      <rgbColor rgb="FF0B63A5"/>
      <rgbColor rgb="FFEAF0FB"/>
      <rgbColor rgb="FF000080"/>
      <rgbColor rgb="FFFF00FF"/>
      <rgbColor rgb="FFFFFF00"/>
      <rgbColor rgb="FF00FFFF"/>
      <rgbColor rgb="FF800080"/>
      <rgbColor rgb="FF800000"/>
      <rgbColor rgb="FF085041"/>
      <rgbColor rgb="FF0000FF"/>
      <rgbColor rgb="FF00CCFF"/>
      <rgbColor rgb="FFEAF6F1"/>
      <rgbColor rgb="FFC9E9DD"/>
      <rgbColor rgb="FFFCEBEB"/>
      <rgbColor rgb="FFEAF3F5"/>
      <rgbColor rgb="FFF0F8F4"/>
      <rgbColor rgb="FFCC99FF"/>
      <rgbColor rgb="FFEEF1F3"/>
      <rgbColor rgb="FF3366FF"/>
      <rgbColor rgb="FF33CCCC"/>
      <rgbColor rgb="FF99CC00"/>
      <rgbColor rgb="FFFFCC00"/>
      <rgbColor rgb="FFFF9900"/>
      <rgbColor rgb="FFFF6600"/>
      <rgbColor rgb="FF4A5A5F"/>
      <rgbColor rgb="FF969696"/>
      <rgbColor rgb="FF123B4A"/>
      <rgbColor rgb="FF1D9E75"/>
      <rgbColor rgb="FF17333A"/>
      <rgbColor rgb="FF123F4A"/>
      <rgbColor rgb="FF993300"/>
      <rgbColor rgb="FF993366"/>
      <rgbColor rgb="FF244A54"/>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PapersTable" displayName="PapersTable" ref="A1:S61" totalsRowShown="0">
  <tableColumns count="19">
    <tableColumn id="1" xr3:uid="{00000000-0010-0000-0000-000001000000}" name="Paper ID"/>
    <tableColumn id="2" xr3:uid="{00000000-0010-0000-0000-000002000000}" name="Cohort"/>
    <tableColumn id="3" xr3:uid="{00000000-0010-0000-0000-000003000000}" name="Year"/>
    <tableColumn id="4" xr3:uid="{00000000-0010-0000-0000-000004000000}" name="Title"/>
    <tableColumn id="5" xr3:uid="{00000000-0010-0000-0000-000005000000}" name="Journal"/>
    <tableColumn id="6" xr3:uid="{00000000-0010-0000-0000-000006000000}" name="Biological model"/>
    <tableColumn id="7" xr3:uid="{00000000-0010-0000-0000-000007000000}" name="Biological challenge"/>
    <tableColumn id="8" xr3:uid="{00000000-0010-0000-0000-000008000000}" name="Mechanism"/>
    <tableColumn id="9" xr3:uid="{00000000-0010-0000-0000-000009000000}" name="Abstracted design principle"/>
    <tableColumn id="10" xr3:uid="{00000000-0010-0000-0000-00000A000000}" name="Primary strategy"/>
    <tableColumn id="11" xr3:uid="{00000000-0010-0000-0000-00000B000000}" name="Secondary strategy"/>
    <tableColumn id="12" xr3:uid="{00000000-0010-0000-0000-00000C000000}" name="Healing mode"/>
    <tableColumn id="13" xr3:uid="{00000000-0010-0000-0000-00000D000000}" name="Trigger"/>
    <tableColumn id="14" xr3:uid="{00000000-0010-0000-0000-00000E000000}" name="Repeatability"/>
    <tableColumn id="15" xr3:uid="{00000000-0010-0000-0000-00000F000000}" name="Engineering implementation"/>
    <tableColumn id="16" xr3:uid="{00000000-0010-0000-0000-000010000000}" name="Application domain"/>
    <tableColumn id="17" xr3:uid="{00000000-0010-0000-0000-000011000000}" name="Citation signal"/>
    <tableColumn id="18" xr3:uid="{00000000-0010-0000-0000-000012000000}" name="Source link (checked at compile)"/>
    <tableColumn id="19" xr3:uid="{00000000-0010-0000-0000-000013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EngineSchemaTable" displayName="EngineSchemaTable" ref="A4:H51" totalsRowShown="0">
  <tableColumns count="8">
    <tableColumn id="1" xr3:uid="{00000000-0010-0000-0100-000001000000}" name="Field"/>
    <tableColumn id="2" xr3:uid="{00000000-0010-0000-0100-000002000000}" name="Entity / layer"/>
    <tableColumn id="3" xr3:uid="{00000000-0010-0000-0100-000003000000}" name="Question the engine answers"/>
    <tableColumn id="4" xr3:uid="{00000000-0010-0000-0100-000004000000}" name="Controlled vocabulary / data type"/>
    <tableColumn id="5" xr3:uid="{00000000-0010-0000-0100-000005000000}" name="Example"/>
    <tableColumn id="6" xr3:uid="{00000000-0010-0000-0100-000006000000}" name="Reasoning role"/>
    <tableColumn id="7" xr3:uid="{00000000-0010-0000-0100-000007000000}" name="Required?"/>
    <tableColumn id="8" xr3:uid="{00000000-0010-0000-0100-000008000000}" name="Validation rule / cavea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PaperOntologyTable" displayName="PaperOntologyTable" ref="A4:J64" totalsRowShown="0">
  <tableColumns count="10">
    <tableColumn id="1" xr3:uid="{00000000-0010-0000-0200-000001000000}" name="Paper ID"/>
    <tableColumn id="2" xr3:uid="{00000000-0010-0000-0200-000002000000}" name="Year"/>
    <tableColumn id="3" xr3:uid="{00000000-0010-0000-0200-000003000000}" name="Title"/>
    <tableColumn id="4" xr3:uid="{00000000-0010-0000-0200-000004000000}" name="Biological model"/>
    <tableColumn id="5" xr3:uid="{00000000-0010-0000-0200-000005000000}" name="Ontology primary"/>
    <tableColumn id="6" xr3:uid="{00000000-0010-0000-0200-000006000000}" name="Ontology secondary"/>
    <tableColumn id="7" xr3:uid="{00000000-0010-0000-0200-000007000000}" name="Repair phase"/>
    <tableColumn id="8" xr3:uid="{00000000-0010-0000-0200-000008000000}" name="Trigger"/>
    <tableColumn id="9" xr3:uid="{00000000-0010-0000-0200-000009000000}" name="Repeatability"/>
    <tableColumn id="10" xr3:uid="{00000000-0010-0000-0200-00000A000000}" name="Validated sourc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RepairStrategiesTable" displayName="RepairStrategiesTable" ref="A4:X20" totalsRowShown="0">
  <tableColumns count="24">
    <tableColumn id="1" xr3:uid="{00000000-0010-0000-0300-000001000000}" name="Strategy ID"/>
    <tableColumn id="2" xr3:uid="{00000000-0010-0000-0300-000002000000}" name="Strategy"/>
    <tableColumn id="3" xr3:uid="{00000000-0010-0000-0300-000003000000}" name="Repair phase(s)"/>
    <tableColumn id="4" xr3:uid="{00000000-0010-0000-0300-000004000000}" name="Canonical / extended primitive"/>
    <tableColumn id="5" xr3:uid="{00000000-0010-0000-0300-000005000000}" name="Representative biological model"/>
    <tableColumn id="6" xr3:uid="{00000000-0010-0000-0300-000006000000}" name="Biological challenge"/>
    <tableColumn id="7" xr3:uid="{00000000-0010-0000-0300-000007000000}" name="Natural sequence"/>
    <tableColumn id="8" xr3:uid="{00000000-0010-0000-0300-000008000000}" name="Trigger / sensor"/>
    <tableColumn id="9" xr3:uid="{00000000-0010-0000-0300-000009000000}" name="Immediate response"/>
    <tableColumn id="10" xr3:uid="{00000000-0010-0000-0300-00000A000000}" name="Resource / repair material"/>
    <tableColumn id="11" xr3:uid="{00000000-0010-0000-0300-00000B000000}" name="Resource location"/>
    <tableColumn id="12" xr3:uid="{00000000-0010-0000-0300-00000C000000}" name="Transport / mobilization"/>
    <tableColumn id="13" xr3:uid="{00000000-0010-0000-0300-00000D000000}" name="Reconstruction mode"/>
    <tableColumn id="14" xr3:uid="{00000000-0010-0000-0300-00000E000000}" name="Spatial scale"/>
    <tableColumn id="15" xr3:uid="{00000000-0010-0000-0300-00000F000000}" name="Temporal profile"/>
    <tableColumn id="16" xr3:uid="{00000000-0010-0000-0300-000010000000}" name="Repeatability"/>
    <tableColumn id="17" xr3:uid="{00000000-0010-0000-0300-000011000000}" name="Function(s) restored"/>
    <tableColumn id="18" xr3:uid="{00000000-0010-0000-0300-000012000000}" name="Engineering-neutral design rule"/>
    <tableColumn id="19" xr3:uid="{00000000-0010-0000-0300-000013000000}" name="Suitable engineering conditions"/>
    <tableColumn id="20" xr3:uid="{00000000-0010-0000-0300-000014000000}" name="Main trade-off"/>
    <tableColumn id="21" xr3:uid="{00000000-0010-0000-0300-000015000000}" name="Common failure mode"/>
    <tableColumn id="22" xr3:uid="{00000000-0010-0000-0300-000016000000}" name="Best complementary strategies"/>
    <tableColumn id="23" xr3:uid="{00000000-0010-0000-0300-000017000000}" name="Evidence anchors"/>
    <tableColumn id="24" xr3:uid="{00000000-0010-0000-0300-000018000000}" name="Confidenc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BiologicalPrimitivesTable" displayName="BiologicalPrimitivesTable" ref="A4:O20" totalsRowShown="0">
  <tableColumns count="15">
    <tableColumn id="1" xr3:uid="{00000000-0010-0000-0400-000001000000}" name="Primitive ID"/>
    <tableColumn id="2" xr3:uid="{00000000-0010-0000-0400-000002000000}" name="Primitive"/>
    <tableColumn id="3" xr3:uid="{00000000-0010-0000-0400-000003000000}" name="Status"/>
    <tableColumn id="4" xr3:uid="{00000000-0010-0000-0400-000004000000}" name="Nature examples"/>
    <tableColumn id="5" xr3:uid="{00000000-0010-0000-0400-000005000000}" name="Core action"/>
    <tableColumn id="6" xr3:uid="{00000000-0010-0000-0400-000006000000}" name="Trigger / recognition"/>
    <tableColumn id="7" xr3:uid="{00000000-0010-0000-0400-000007000000}" name="Material / resource behavior"/>
    <tableColumn id="8" xr3:uid="{00000000-0010-0000-0400-000008000000}" name="Transport"/>
    <tableColumn id="9" xr3:uid="{00000000-0010-0000-0400-000009000000}" name="Spatial logic"/>
    <tableColumn id="10" xr3:uid="{00000000-0010-0000-0400-00000A000000}" name="Temporal logic"/>
    <tableColumn id="11" xr3:uid="{00000000-0010-0000-0400-00000B000000}" name="Repeatability"/>
    <tableColumn id="12" xr3:uid="{00000000-0010-0000-0400-00000C000000}" name="Engineering abstraction"/>
    <tableColumn id="13" xr3:uid="{00000000-0010-0000-0400-00000D000000}" name="Ontology strategies"/>
    <tableColumn id="14" xr3:uid="{00000000-0010-0000-0400-00000E000000}" name="Key limitation"/>
    <tableColumn id="15" xr3:uid="{00000000-0010-0000-0400-00000F000000}" name="Evidenc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BiologicalModelsTable" displayName="BiologicalModelsTable" ref="A4:N34" totalsRowShown="0">
  <tableColumns count="14">
    <tableColumn id="1" xr3:uid="{00000000-0010-0000-0500-000001000000}" name="Model ID"/>
    <tableColumn id="2" xr3:uid="{00000000-0010-0000-0500-000002000000}" name="Domain"/>
    <tableColumn id="3" xr3:uid="{00000000-0010-0000-0500-000003000000}" name="Biological model"/>
    <tableColumn id="4" xr3:uid="{00000000-0010-0000-0500-000004000000}" name="Damage / challenge"/>
    <tableColumn id="5" xr3:uid="{00000000-0010-0000-0500-000005000000}" name="Natural response sequence"/>
    <tableColumn id="6" xr3:uid="{00000000-0010-0000-0500-000006000000}" name="Primitive IDs"/>
    <tableColumn id="7" xr3:uid="{00000000-0010-0000-0500-000007000000}" name="Strategy IDs"/>
    <tableColumn id="8" xr3:uid="{00000000-0010-0000-0500-000008000000}" name="Primary resources / energy"/>
    <tableColumn id="9" xr3:uid="{00000000-0010-0000-0500-000009000000}" name="Transport mode"/>
    <tableColumn id="10" xr3:uid="{00000000-0010-0000-0500-00000A000000}" name="Spatial scale"/>
    <tableColumn id="11" xr3:uid="{00000000-0010-0000-0500-00000B000000}" name="Temporal profile"/>
    <tableColumn id="12" xr3:uid="{00000000-0010-0000-0500-00000C000000}" name="Repeatability"/>
    <tableColumn id="13" xr3:uid="{00000000-0010-0000-0500-00000D000000}" name="Transferable rule"/>
    <tableColumn id="14" xr3:uid="{00000000-0010-0000-0500-00000E000000}" name="Evidence / attached sourc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ChallengeStrategyTable" displayName="ChallengeStrategyTable" ref="A4:J22" totalsRowShown="0">
  <tableColumns count="10">
    <tableColumn id="1" xr3:uid="{00000000-0010-0000-0600-000001000000}" name="Challenge pattern"/>
    <tableColumn id="2" xr3:uid="{00000000-0010-0000-0600-000002000000}" name="Critical qualifiers"/>
    <tableColumn id="3" xr3:uid="{00000000-0010-0000-0600-000003000000}" name="Prioritize"/>
    <tableColumn id="4" xr3:uid="{00000000-0010-0000-0600-000004000000}" name="Usually combine with"/>
    <tableColumn id="5" xr3:uid="{00000000-0010-0000-0600-000005000000}" name="De-prioritize / reject when"/>
    <tableColumn id="6" xr3:uid="{00000000-0010-0000-0600-000006000000}" name="Reasoning rule"/>
    <tableColumn id="7" xr3:uid="{00000000-0010-0000-0600-000007000000}" name="Biological model"/>
    <tableColumn id="8" xr3:uid="{00000000-0010-0000-0600-000008000000}" name="What to measure"/>
    <tableColumn id="9" xr3:uid="{00000000-0010-0000-0600-000009000000}" name="Evidence status"/>
    <tableColumn id="10" xr3:uid="{00000000-0010-0000-0600-00000A000000}" name="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EvaluationMetricsTable" displayName="EvaluationMetricsTable" ref="A4:L24" totalsRowShown="0">
  <tableColumns count="12">
    <tableColumn id="1" xr3:uid="{00000000-0010-0000-0700-000001000000}" name="Metric ID"/>
    <tableColumn id="2" xr3:uid="{00000000-0010-0000-0700-000002000000}" name="Metric / field"/>
    <tableColumn id="3" xr3:uid="{00000000-0010-0000-0700-000003000000}" name="Function class"/>
    <tableColumn id="4" xr3:uid="{00000000-0010-0000-0700-000004000000}" name="Definition / question"/>
    <tableColumn id="5" xr3:uid="{00000000-0010-0000-0700-000005000000}" name="Typical unit"/>
    <tableColumn id="6" xr3:uid="{00000000-0010-0000-0700-000006000000}" name="Required conditions to store"/>
    <tableColumn id="7" xr3:uid="{00000000-0010-0000-0700-000007000000}" name="Why needed"/>
    <tableColumn id="8" xr3:uid="{00000000-0010-0000-0700-000008000000}" name="Common misuse"/>
    <tableColumn id="9" xr3:uid="{00000000-0010-0000-0700-000009000000}" name="Preferred evidence"/>
    <tableColumn id="10" xr3:uid="{00000000-0010-0000-0700-00000A000000}" name="Relevant strategies"/>
    <tableColumn id="11" xr3:uid="{00000000-0010-0000-0700-00000B000000}" name="Example source"/>
    <tableColumn id="12" xr3:uid="{00000000-0010-0000-0700-00000C000000}" name="Engine requirement"/>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AttachedSourcesTable" displayName="AttachedSourcesTable" ref="A4:L23" totalsRowShown="0">
  <tableColumns count="12">
    <tableColumn id="1" xr3:uid="{00000000-0010-0000-0800-000001000000}" name="File"/>
    <tableColumn id="2" xr3:uid="{00000000-0010-0000-0800-000002000000}" name="Title / identification"/>
    <tableColumn id="3" xr3:uid="{00000000-0010-0000-0800-000003000000}" name="Year"/>
    <tableColumn id="4" xr3:uid="{00000000-0010-0000-0800-000004000000}" name="Source type"/>
    <tableColumn id="5" xr3:uid="{00000000-0010-0000-0800-000005000000}" name="Peer-review / status"/>
    <tableColumn id="6" xr3:uid="{00000000-0010-0000-0800-000006000000}" name="Main ontology contribution"/>
    <tableColumn id="7" xr3:uid="{00000000-0010-0000-0800-000007000000}" name="Strategies / primitives informed"/>
    <tableColumn id="8" xr3:uid="{00000000-0010-0000-0800-000008000000}" name="Key constraint or nuance integrated"/>
    <tableColumn id="9" xr3:uid="{00000000-0010-0000-0800-000009000000}" name="DOI / source URL"/>
    <tableColumn id="10" xr3:uid="{00000000-0010-0000-0800-00000A000000}" name="Use in ontology"/>
    <tableColumn id="11" xr3:uid="{00000000-0010-0000-0800-00000B000000}" name="Evidence weight"/>
    <tableColumn id="12" xr3:uid="{00000000-0010-0000-0800-00000C000000}" name="Not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ReasoningRelationsTable" displayName="ReasoningRelationsTable" ref="A4:I54" totalsRowShown="0">
  <tableColumns count="9">
    <tableColumn id="1" xr3:uid="{00000000-0010-0000-0900-000001000000}" name="Relation ID"/>
    <tableColumn id="2" xr3:uid="{00000000-0010-0000-0900-000002000000}" name="Subject"/>
    <tableColumn id="3" xr3:uid="{00000000-0010-0000-0900-000003000000}" name="Relation"/>
    <tableColumn id="4" xr3:uid="{00000000-0010-0000-0900-000004000000}" name="Object"/>
    <tableColumn id="5" xr3:uid="{00000000-0010-0000-0900-000005000000}" name="Qualifier / condition"/>
    <tableColumn id="6" xr3:uid="{00000000-0010-0000-0900-000006000000}" name="Reasoning implication"/>
    <tableColumn id="7" xr3:uid="{00000000-0010-0000-0900-000007000000}" name="Evidence basis"/>
    <tableColumn id="8" xr3:uid="{00000000-0010-0000-0900-000008000000}" name="Evidence type"/>
    <tableColumn id="9" xr3:uid="{00000000-0010-0000-0900-000009000000}" name="Confidence"/>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
  <sheetViews>
    <sheetView zoomScaleNormal="100" workbookViewId="0">
      <selection sqref="A1:G1"/>
    </sheetView>
  </sheetViews>
  <sheetFormatPr defaultColWidth="8.6328125" defaultRowHeight="14.5" x14ac:dyDescent="0.35"/>
  <cols>
    <col min="1" max="1" width="18" style="12" customWidth="1"/>
    <col min="2" max="2" width="28" style="12" customWidth="1"/>
    <col min="3" max="3" width="22" style="12" customWidth="1"/>
    <col min="4" max="4" width="25" style="12" customWidth="1"/>
    <col min="5" max="5" width="32" style="12" customWidth="1"/>
    <col min="6" max="6" width="42" style="12" customWidth="1"/>
    <col min="7" max="7" width="24" style="12" customWidth="1"/>
    <col min="8" max="8" width="16" style="12" customWidth="1"/>
    <col min="9" max="9" width="31" style="12" customWidth="1"/>
    <col min="10" max="10" width="12" style="12" customWidth="1"/>
    <col min="12" max="12" width="34" style="12" customWidth="1"/>
    <col min="13" max="13" width="16" style="12" customWidth="1"/>
  </cols>
  <sheetData>
    <row r="1" spans="1:13" ht="27.75" customHeight="1" x14ac:dyDescent="0.25">
      <c r="A1" s="11" t="s">
        <v>0</v>
      </c>
      <c r="B1" s="11"/>
      <c r="C1" s="11"/>
      <c r="D1" s="11"/>
      <c r="E1" s="11"/>
      <c r="F1" s="11"/>
      <c r="G1" s="11"/>
      <c r="H1" s="13"/>
      <c r="I1" s="13"/>
      <c r="J1" s="13"/>
      <c r="L1" s="10" t="s">
        <v>1</v>
      </c>
      <c r="M1" s="10"/>
    </row>
    <row r="2" spans="1:13" ht="33.75" customHeight="1" x14ac:dyDescent="0.35">
      <c r="A2" s="9" t="s">
        <v>2</v>
      </c>
      <c r="B2" s="9"/>
      <c r="C2" s="9"/>
      <c r="D2" s="9"/>
      <c r="E2" s="9"/>
      <c r="F2" s="9"/>
      <c r="G2" s="9"/>
      <c r="H2" s="9"/>
      <c r="I2" s="9"/>
      <c r="J2" s="9"/>
    </row>
    <row r="3" spans="1:13" ht="29" x14ac:dyDescent="0.35">
      <c r="L3" s="14" t="s">
        <v>3</v>
      </c>
      <c r="M3" s="14" t="s">
        <v>4</v>
      </c>
    </row>
    <row r="4" spans="1:13" ht="33.75" customHeight="1" x14ac:dyDescent="0.25">
      <c r="A4" s="8" t="s">
        <v>5</v>
      </c>
      <c r="B4" s="8"/>
      <c r="C4" s="8"/>
      <c r="D4" s="8"/>
      <c r="E4" s="8"/>
      <c r="F4" s="8"/>
      <c r="G4" s="8"/>
      <c r="H4" s="8"/>
      <c r="I4" s="8"/>
      <c r="J4" s="8"/>
      <c r="L4" s="15" t="str">
        <f t="shared" ref="L4:L19" si="0">A15&amp;" "&amp;B15</f>
        <v>NR01 Protect / prevent damage</v>
      </c>
      <c r="M4" s="16">
        <f t="shared" ref="M4:M19" si="1">J15</f>
        <v>2</v>
      </c>
    </row>
    <row r="5" spans="1:13" x14ac:dyDescent="0.35">
      <c r="A5" s="14" t="s">
        <v>6</v>
      </c>
      <c r="B5" s="14" t="s">
        <v>7</v>
      </c>
      <c r="C5" s="14" t="s">
        <v>8</v>
      </c>
      <c r="D5" s="14" t="s">
        <v>9</v>
      </c>
      <c r="E5" s="14" t="s">
        <v>10</v>
      </c>
      <c r="F5" s="17"/>
      <c r="G5" s="18"/>
      <c r="I5" s="19"/>
      <c r="J5" s="19"/>
      <c r="L5" s="15" t="str">
        <f t="shared" si="0"/>
        <v>NR02 Contain / compartmentalize</v>
      </c>
      <c r="M5" s="16">
        <f t="shared" si="1"/>
        <v>0</v>
      </c>
    </row>
    <row r="6" spans="1:13" ht="48" customHeight="1" x14ac:dyDescent="0.35">
      <c r="A6" s="20" t="s">
        <v>11</v>
      </c>
      <c r="B6" s="21" t="s">
        <v>12</v>
      </c>
      <c r="C6" s="21" t="s">
        <v>13</v>
      </c>
      <c r="D6" s="21" t="s">
        <v>14</v>
      </c>
      <c r="E6" s="21" t="s">
        <v>15</v>
      </c>
      <c r="F6" s="17"/>
      <c r="G6" s="18"/>
      <c r="I6" s="19"/>
      <c r="J6" s="19"/>
      <c r="L6" s="15" t="str">
        <f t="shared" si="0"/>
        <v>NR03 Rapid plug / seal</v>
      </c>
      <c r="M6" s="16">
        <f t="shared" si="1"/>
        <v>0</v>
      </c>
    </row>
    <row r="7" spans="1:13" ht="48" customHeight="1" x14ac:dyDescent="0.35">
      <c r="A7" s="20" t="s">
        <v>16</v>
      </c>
      <c r="B7" s="21" t="s">
        <v>17</v>
      </c>
      <c r="C7" s="21" t="s">
        <v>18</v>
      </c>
      <c r="D7" s="21" t="s">
        <v>19</v>
      </c>
      <c r="E7" s="21" t="s">
        <v>20</v>
      </c>
      <c r="F7" s="17"/>
      <c r="G7" s="18"/>
      <c r="I7" s="19"/>
      <c r="J7" s="19"/>
      <c r="L7" s="15" t="str">
        <f t="shared" si="0"/>
        <v>NR04 Adhesive rejoin</v>
      </c>
      <c r="M7" s="16">
        <f t="shared" si="1"/>
        <v>10</v>
      </c>
    </row>
    <row r="8" spans="1:13" ht="48" customHeight="1" x14ac:dyDescent="0.35">
      <c r="A8" s="20" t="s">
        <v>21</v>
      </c>
      <c r="B8" s="21" t="s">
        <v>22</v>
      </c>
      <c r="C8" s="21" t="s">
        <v>23</v>
      </c>
      <c r="D8" s="21" t="s">
        <v>24</v>
      </c>
      <c r="E8" s="21" t="s">
        <v>25</v>
      </c>
      <c r="F8" s="17"/>
      <c r="G8" s="18"/>
      <c r="I8" s="19"/>
      <c r="J8" s="19"/>
      <c r="L8" s="15" t="str">
        <f t="shared" si="0"/>
        <v>NR05 Reservoir release</v>
      </c>
      <c r="M8" s="16">
        <f t="shared" si="1"/>
        <v>3</v>
      </c>
    </row>
    <row r="9" spans="1:13" ht="48" customHeight="1" x14ac:dyDescent="0.35">
      <c r="A9" s="20" t="s">
        <v>26</v>
      </c>
      <c r="B9" s="21" t="s">
        <v>27</v>
      </c>
      <c r="C9" s="21" t="s">
        <v>28</v>
      </c>
      <c r="D9" s="21" t="s">
        <v>29</v>
      </c>
      <c r="E9" s="21" t="s">
        <v>30</v>
      </c>
      <c r="F9" s="17"/>
      <c r="G9" s="18"/>
      <c r="I9" s="19"/>
      <c r="J9" s="19"/>
      <c r="L9" s="15" t="str">
        <f t="shared" si="0"/>
        <v>NR06 Vascular transport / replenishment</v>
      </c>
      <c r="M9" s="16">
        <f t="shared" si="1"/>
        <v>7</v>
      </c>
    </row>
    <row r="10" spans="1:13" ht="48" customHeight="1" x14ac:dyDescent="0.35">
      <c r="A10" s="20" t="s">
        <v>31</v>
      </c>
      <c r="B10" s="21" t="s">
        <v>32</v>
      </c>
      <c r="C10" s="21" t="s">
        <v>33</v>
      </c>
      <c r="D10" s="21" t="s">
        <v>34</v>
      </c>
      <c r="E10" s="21" t="s">
        <v>35</v>
      </c>
      <c r="F10" s="17"/>
      <c r="G10" s="18"/>
      <c r="I10" s="19"/>
      <c r="J10" s="19"/>
      <c r="L10" s="15" t="str">
        <f t="shared" si="0"/>
        <v>NR07 Layer / renew / shed</v>
      </c>
      <c r="M10" s="16">
        <f t="shared" si="1"/>
        <v>0</v>
      </c>
    </row>
    <row r="11" spans="1:13" ht="48" customHeight="1" x14ac:dyDescent="0.35">
      <c r="A11" s="20" t="s">
        <v>36</v>
      </c>
      <c r="B11" s="21" t="s">
        <v>37</v>
      </c>
      <c r="C11" s="21" t="s">
        <v>38</v>
      </c>
      <c r="D11" s="21" t="s">
        <v>39</v>
      </c>
      <c r="E11" s="21" t="s">
        <v>40</v>
      </c>
      <c r="F11" s="17"/>
      <c r="G11" s="18"/>
      <c r="I11" s="19"/>
      <c r="J11" s="19"/>
      <c r="L11" s="15" t="str">
        <f t="shared" si="0"/>
        <v>NR08 Dynamic rebond</v>
      </c>
      <c r="M11" s="16">
        <f t="shared" si="1"/>
        <v>33</v>
      </c>
    </row>
    <row r="12" spans="1:13" x14ac:dyDescent="0.35">
      <c r="A12" s="22"/>
      <c r="B12" s="17"/>
      <c r="C12" s="17"/>
      <c r="D12" s="17"/>
      <c r="E12" s="17"/>
      <c r="F12" s="17"/>
      <c r="G12" s="18"/>
      <c r="I12" s="19"/>
      <c r="J12" s="19"/>
      <c r="L12" s="15" t="str">
        <f t="shared" si="0"/>
        <v>NR09 Sacrificial dissipation + recovery</v>
      </c>
      <c r="M12" s="16">
        <f t="shared" si="1"/>
        <v>10</v>
      </c>
    </row>
    <row r="13" spans="1:13" ht="15" customHeight="1" x14ac:dyDescent="0.25">
      <c r="A13" s="10" t="s">
        <v>41</v>
      </c>
      <c r="B13" s="10"/>
      <c r="C13" s="10"/>
      <c r="D13" s="10"/>
      <c r="E13" s="10"/>
      <c r="F13" s="10"/>
      <c r="G13" s="10"/>
      <c r="H13" s="10"/>
      <c r="I13" s="10"/>
      <c r="J13" s="10"/>
      <c r="L13" s="15" t="str">
        <f t="shared" si="0"/>
        <v>NR10 Hierarchical crack control</v>
      </c>
      <c r="M13" s="16">
        <f t="shared" si="1"/>
        <v>20</v>
      </c>
    </row>
    <row r="14" spans="1:13" ht="29" x14ac:dyDescent="0.25">
      <c r="A14" s="14" t="s">
        <v>42</v>
      </c>
      <c r="B14" s="14" t="s">
        <v>3</v>
      </c>
      <c r="C14" s="14" t="s">
        <v>43</v>
      </c>
      <c r="D14" s="14" t="s">
        <v>44</v>
      </c>
      <c r="E14" s="14" t="s">
        <v>45</v>
      </c>
      <c r="F14" s="14" t="s">
        <v>46</v>
      </c>
      <c r="G14" s="14" t="s">
        <v>47</v>
      </c>
      <c r="H14" s="14" t="s">
        <v>48</v>
      </c>
      <c r="I14" s="14" t="s">
        <v>49</v>
      </c>
      <c r="J14" s="14" t="s">
        <v>50</v>
      </c>
      <c r="L14" s="15" t="str">
        <f t="shared" si="0"/>
        <v>NR11 Biomineralize / regrow missing material</v>
      </c>
      <c r="M14" s="16">
        <f t="shared" si="1"/>
        <v>6</v>
      </c>
    </row>
    <row r="15" spans="1:13" ht="60" customHeight="1" x14ac:dyDescent="0.25">
      <c r="A15" s="20" t="s">
        <v>51</v>
      </c>
      <c r="B15" s="20" t="s">
        <v>52</v>
      </c>
      <c r="C15" s="21" t="s">
        <v>53</v>
      </c>
      <c r="D15" s="21" t="s">
        <v>54</v>
      </c>
      <c r="E15" s="21" t="s">
        <v>55</v>
      </c>
      <c r="F15" s="21" t="s">
        <v>56</v>
      </c>
      <c r="G15" s="21" t="s">
        <v>57</v>
      </c>
      <c r="H15" s="21" t="s">
        <v>58</v>
      </c>
      <c r="I15" s="21" t="s">
        <v>59</v>
      </c>
      <c r="J15" s="23">
        <f>COUNTIF(Paper→Ontology!$E$5:$E$64,A15)+COUNTIF(Paper→Ontology!$F$5:$F$64,A15)</f>
        <v>2</v>
      </c>
      <c r="L15" s="15" t="str">
        <f t="shared" si="0"/>
        <v>NR12 Living remodeling / regeneration</v>
      </c>
      <c r="M15" s="16">
        <f t="shared" si="1"/>
        <v>3</v>
      </c>
    </row>
    <row r="16" spans="1:13" ht="60" customHeight="1" x14ac:dyDescent="0.25">
      <c r="A16" s="20" t="s">
        <v>60</v>
      </c>
      <c r="B16" s="20" t="s">
        <v>61</v>
      </c>
      <c r="C16" s="21" t="s">
        <v>62</v>
      </c>
      <c r="D16" s="21" t="s">
        <v>63</v>
      </c>
      <c r="E16" s="21" t="s">
        <v>64</v>
      </c>
      <c r="F16" s="21" t="s">
        <v>65</v>
      </c>
      <c r="G16" s="21" t="s">
        <v>66</v>
      </c>
      <c r="H16" s="21" t="s">
        <v>67</v>
      </c>
      <c r="I16" s="21" t="s">
        <v>68</v>
      </c>
      <c r="J16" s="23">
        <f>COUNTIF(Paper→Ontology!$E$5:$E$64,A16)+COUNTIF(Paper→Ontology!$F$5:$F$64,A16)</f>
        <v>0</v>
      </c>
      <c r="L16" s="15" t="str">
        <f t="shared" si="0"/>
        <v>NR13 Dissolve → redistribute → redeploy</v>
      </c>
      <c r="M16" s="16">
        <f t="shared" si="1"/>
        <v>0</v>
      </c>
    </row>
    <row r="17" spans="1:13" ht="60" customHeight="1" x14ac:dyDescent="0.25">
      <c r="A17" s="20" t="s">
        <v>69</v>
      </c>
      <c r="B17" s="20" t="s">
        <v>70</v>
      </c>
      <c r="C17" s="24" t="s">
        <v>62</v>
      </c>
      <c r="D17" s="24" t="s">
        <v>71</v>
      </c>
      <c r="E17" s="24" t="s">
        <v>72</v>
      </c>
      <c r="F17" s="24" t="s">
        <v>73</v>
      </c>
      <c r="G17" s="24" t="s">
        <v>74</v>
      </c>
      <c r="H17" s="21" t="s">
        <v>75</v>
      </c>
      <c r="I17" s="21" t="s">
        <v>76</v>
      </c>
      <c r="J17" s="23">
        <f>COUNTIF(Paper→Ontology!$E$5:$E$64,A17)+COUNTIF(Paper→Ontology!$F$5:$F$64,A17)</f>
        <v>0</v>
      </c>
      <c r="L17" s="15" t="str">
        <f t="shared" si="0"/>
        <v>NR14 Adaptive reconfiguration</v>
      </c>
      <c r="M17" s="16">
        <f t="shared" si="1"/>
        <v>9</v>
      </c>
    </row>
    <row r="18" spans="1:13" ht="60" customHeight="1" x14ac:dyDescent="0.25">
      <c r="A18" s="25" t="s">
        <v>77</v>
      </c>
      <c r="B18" s="25" t="s">
        <v>78</v>
      </c>
      <c r="C18" s="26" t="s">
        <v>62</v>
      </c>
      <c r="D18" s="26" t="s">
        <v>79</v>
      </c>
      <c r="E18" s="21" t="s">
        <v>80</v>
      </c>
      <c r="F18" s="21" t="s">
        <v>81</v>
      </c>
      <c r="G18" s="21" t="s">
        <v>82</v>
      </c>
      <c r="H18" s="21" t="s">
        <v>83</v>
      </c>
      <c r="I18" s="21" t="s">
        <v>84</v>
      </c>
      <c r="J18" s="23">
        <f>COUNTIF(Paper→Ontology!$E$5:$E$64,A18)+COUNTIF(Paper→Ontology!$F$5:$F$64,A18)</f>
        <v>10</v>
      </c>
      <c r="L18" s="15" t="str">
        <f t="shared" si="0"/>
        <v>NR15 Sense → signal → recruit / repair</v>
      </c>
      <c r="M18" s="16">
        <f t="shared" si="1"/>
        <v>11</v>
      </c>
    </row>
    <row r="19" spans="1:13" ht="60" customHeight="1" x14ac:dyDescent="0.25">
      <c r="A19" s="20" t="s">
        <v>85</v>
      </c>
      <c r="B19" s="20" t="s">
        <v>86</v>
      </c>
      <c r="C19" s="21" t="s">
        <v>87</v>
      </c>
      <c r="D19" s="21" t="s">
        <v>88</v>
      </c>
      <c r="E19" s="21" t="s">
        <v>89</v>
      </c>
      <c r="F19" s="21" t="s">
        <v>90</v>
      </c>
      <c r="G19" s="21" t="s">
        <v>91</v>
      </c>
      <c r="H19" s="21" t="s">
        <v>92</v>
      </c>
      <c r="I19" s="21" t="s">
        <v>93</v>
      </c>
      <c r="J19" s="23">
        <f>COUNTIF(Paper→Ontology!$E$5:$E$64,A19)+COUNTIF(Paper→Ontology!$F$5:$F$64,A19)</f>
        <v>3</v>
      </c>
      <c r="L19" s="15" t="str">
        <f t="shared" si="0"/>
        <v>NR16 Staged / temporal repair</v>
      </c>
      <c r="M19" s="16">
        <f t="shared" si="1"/>
        <v>6</v>
      </c>
    </row>
    <row r="20" spans="1:13" ht="60" customHeight="1" x14ac:dyDescent="0.35">
      <c r="A20" s="20" t="s">
        <v>94</v>
      </c>
      <c r="B20" s="20" t="s">
        <v>95</v>
      </c>
      <c r="C20" s="21" t="s">
        <v>87</v>
      </c>
      <c r="D20" s="21" t="s">
        <v>96</v>
      </c>
      <c r="E20" s="21" t="s">
        <v>97</v>
      </c>
      <c r="F20" s="21" t="s">
        <v>98</v>
      </c>
      <c r="G20" s="21" t="s">
        <v>99</v>
      </c>
      <c r="H20" s="21" t="s">
        <v>100</v>
      </c>
      <c r="I20" s="21" t="s">
        <v>101</v>
      </c>
      <c r="J20" s="23">
        <f>COUNTIF(Paper→Ontology!$E$5:$E$64,A20)+COUNTIF(Paper→Ontology!$F$5:$F$64,A20)</f>
        <v>7</v>
      </c>
    </row>
    <row r="21" spans="1:13" ht="60" customHeight="1" x14ac:dyDescent="0.35">
      <c r="A21" s="20" t="s">
        <v>102</v>
      </c>
      <c r="B21" s="20" t="s">
        <v>103</v>
      </c>
      <c r="C21" s="21" t="s">
        <v>104</v>
      </c>
      <c r="D21" s="21" t="s">
        <v>105</v>
      </c>
      <c r="E21" s="21" t="s">
        <v>106</v>
      </c>
      <c r="F21" s="21" t="s">
        <v>107</v>
      </c>
      <c r="G21" s="21" t="s">
        <v>108</v>
      </c>
      <c r="H21" s="21" t="s">
        <v>109</v>
      </c>
      <c r="I21" s="21" t="s">
        <v>110</v>
      </c>
      <c r="J21" s="23">
        <f>COUNTIF(Paper→Ontology!$E$5:$E$64,A21)+COUNTIF(Paper→Ontology!$F$5:$F$64,A21)</f>
        <v>0</v>
      </c>
    </row>
    <row r="22" spans="1:13" ht="60" customHeight="1" x14ac:dyDescent="0.35">
      <c r="A22" s="20" t="s">
        <v>111</v>
      </c>
      <c r="B22" s="20" t="s">
        <v>112</v>
      </c>
      <c r="C22" s="21" t="s">
        <v>113</v>
      </c>
      <c r="D22" s="21" t="s">
        <v>114</v>
      </c>
      <c r="E22" s="21" t="s">
        <v>115</v>
      </c>
      <c r="F22" s="21" t="s">
        <v>116</v>
      </c>
      <c r="G22" s="21" t="s">
        <v>117</v>
      </c>
      <c r="H22" s="21" t="s">
        <v>118</v>
      </c>
      <c r="I22" s="21" t="s">
        <v>119</v>
      </c>
      <c r="J22" s="23">
        <f>COUNTIF(Paper→Ontology!$E$5:$E$64,A22)+COUNTIF(Paper→Ontology!$F$5:$F$64,A22)</f>
        <v>33</v>
      </c>
    </row>
    <row r="23" spans="1:13" ht="60" customHeight="1" x14ac:dyDescent="0.35">
      <c r="A23" s="20" t="s">
        <v>120</v>
      </c>
      <c r="B23" s="20" t="s">
        <v>121</v>
      </c>
      <c r="C23" s="21" t="s">
        <v>122</v>
      </c>
      <c r="D23" s="21" t="s">
        <v>123</v>
      </c>
      <c r="E23" s="21" t="s">
        <v>124</v>
      </c>
      <c r="F23" s="21" t="s">
        <v>125</v>
      </c>
      <c r="G23" s="21" t="s">
        <v>126</v>
      </c>
      <c r="H23" s="21" t="s">
        <v>127</v>
      </c>
      <c r="I23" s="21" t="s">
        <v>128</v>
      </c>
      <c r="J23" s="23">
        <f>COUNTIF(Paper→Ontology!$E$5:$E$64,A23)+COUNTIF(Paper→Ontology!$F$5:$F$64,A23)</f>
        <v>10</v>
      </c>
    </row>
    <row r="24" spans="1:13" ht="60" customHeight="1" x14ac:dyDescent="0.35">
      <c r="A24" s="20" t="s">
        <v>129</v>
      </c>
      <c r="B24" s="20" t="s">
        <v>130</v>
      </c>
      <c r="C24" s="21" t="s">
        <v>131</v>
      </c>
      <c r="D24" s="21" t="s">
        <v>132</v>
      </c>
      <c r="E24" s="21" t="s">
        <v>133</v>
      </c>
      <c r="F24" s="21" t="s">
        <v>134</v>
      </c>
      <c r="G24" s="21" t="s">
        <v>135</v>
      </c>
      <c r="H24" s="21" t="s">
        <v>136</v>
      </c>
      <c r="I24" s="21" t="s">
        <v>137</v>
      </c>
      <c r="J24" s="23">
        <f>COUNTIF(Paper→Ontology!$E$5:$E$64,A24)+COUNTIF(Paper→Ontology!$F$5:$F$64,A24)</f>
        <v>20</v>
      </c>
    </row>
    <row r="25" spans="1:13" ht="60" customHeight="1" x14ac:dyDescent="0.35">
      <c r="A25" s="20" t="s">
        <v>138</v>
      </c>
      <c r="B25" s="20" t="s">
        <v>139</v>
      </c>
      <c r="C25" s="21" t="s">
        <v>113</v>
      </c>
      <c r="D25" s="21" t="s">
        <v>140</v>
      </c>
      <c r="E25" s="21" t="s">
        <v>141</v>
      </c>
      <c r="F25" s="21" t="s">
        <v>142</v>
      </c>
      <c r="G25" s="21" t="s">
        <v>143</v>
      </c>
      <c r="H25" s="21" t="s">
        <v>144</v>
      </c>
      <c r="I25" s="21" t="s">
        <v>145</v>
      </c>
      <c r="J25" s="23">
        <f>COUNTIF(Paper→Ontology!$E$5:$E$64,A25)+COUNTIF(Paper→Ontology!$F$5:$F$64,A25)</f>
        <v>6</v>
      </c>
    </row>
    <row r="26" spans="1:13" ht="60" customHeight="1" x14ac:dyDescent="0.35">
      <c r="A26" s="20" t="s">
        <v>146</v>
      </c>
      <c r="B26" s="20" t="s">
        <v>147</v>
      </c>
      <c r="C26" s="21" t="s">
        <v>148</v>
      </c>
      <c r="D26" s="21" t="s">
        <v>149</v>
      </c>
      <c r="E26" s="21" t="s">
        <v>150</v>
      </c>
      <c r="F26" s="21" t="s">
        <v>151</v>
      </c>
      <c r="G26" s="21" t="s">
        <v>152</v>
      </c>
      <c r="H26" s="21" t="s">
        <v>153</v>
      </c>
      <c r="I26" s="21" t="s">
        <v>154</v>
      </c>
      <c r="J26" s="23">
        <f>COUNTIF(Paper→Ontology!$E$5:$E$64,A26)+COUNTIF(Paper→Ontology!$F$5:$F$64,A26)</f>
        <v>3</v>
      </c>
    </row>
    <row r="27" spans="1:13" ht="60" customHeight="1" x14ac:dyDescent="0.35">
      <c r="A27" s="20" t="s">
        <v>155</v>
      </c>
      <c r="B27" s="20" t="s">
        <v>156</v>
      </c>
      <c r="C27" s="21" t="s">
        <v>157</v>
      </c>
      <c r="D27" s="21" t="s">
        <v>158</v>
      </c>
      <c r="E27" s="21" t="s">
        <v>159</v>
      </c>
      <c r="F27" s="21" t="s">
        <v>160</v>
      </c>
      <c r="G27" s="21" t="s">
        <v>161</v>
      </c>
      <c r="H27" s="21" t="s">
        <v>118</v>
      </c>
      <c r="I27" s="21" t="s">
        <v>162</v>
      </c>
      <c r="J27" s="23">
        <f>COUNTIF(Paper→Ontology!$E$5:$E$64,A27)+COUNTIF(Paper→Ontology!$F$5:$F$64,A27)</f>
        <v>0</v>
      </c>
    </row>
    <row r="28" spans="1:13" ht="60" customHeight="1" x14ac:dyDescent="0.35">
      <c r="A28" s="20" t="s">
        <v>163</v>
      </c>
      <c r="B28" s="20" t="s">
        <v>164</v>
      </c>
      <c r="C28" s="21" t="s">
        <v>157</v>
      </c>
      <c r="D28" s="21" t="s">
        <v>165</v>
      </c>
      <c r="E28" s="21" t="s">
        <v>166</v>
      </c>
      <c r="F28" s="21" t="s">
        <v>167</v>
      </c>
      <c r="G28" s="21" t="s">
        <v>168</v>
      </c>
      <c r="H28" s="21" t="s">
        <v>127</v>
      </c>
      <c r="I28" s="21" t="s">
        <v>169</v>
      </c>
      <c r="J28" s="23">
        <f>COUNTIF(Paper→Ontology!$E$5:$E$64,A28)+COUNTIF(Paper→Ontology!$F$5:$F$64,A28)</f>
        <v>9</v>
      </c>
    </row>
    <row r="29" spans="1:13" ht="60" customHeight="1" x14ac:dyDescent="0.35">
      <c r="A29" s="20" t="s">
        <v>170</v>
      </c>
      <c r="B29" s="20" t="s">
        <v>171</v>
      </c>
      <c r="C29" s="21" t="s">
        <v>172</v>
      </c>
      <c r="D29" s="21" t="s">
        <v>173</v>
      </c>
      <c r="E29" s="21" t="s">
        <v>174</v>
      </c>
      <c r="F29" s="21" t="s">
        <v>175</v>
      </c>
      <c r="G29" s="21" t="s">
        <v>176</v>
      </c>
      <c r="H29" s="21" t="s">
        <v>177</v>
      </c>
      <c r="I29" s="21" t="s">
        <v>178</v>
      </c>
      <c r="J29" s="23">
        <f>COUNTIF(Paper→Ontology!$E$5:$E$64,A29)+COUNTIF(Paper→Ontology!$F$5:$F$64,A29)</f>
        <v>11</v>
      </c>
    </row>
    <row r="30" spans="1:13" ht="60" customHeight="1" x14ac:dyDescent="0.35">
      <c r="A30" s="20" t="s">
        <v>179</v>
      </c>
      <c r="B30" s="20" t="s">
        <v>180</v>
      </c>
      <c r="C30" s="21" t="s">
        <v>181</v>
      </c>
      <c r="D30" s="21" t="s">
        <v>182</v>
      </c>
      <c r="E30" s="21" t="s">
        <v>183</v>
      </c>
      <c r="F30" s="21" t="s">
        <v>184</v>
      </c>
      <c r="G30" s="21" t="s">
        <v>185</v>
      </c>
      <c r="H30" s="21" t="s">
        <v>186</v>
      </c>
      <c r="I30" s="21" t="s">
        <v>187</v>
      </c>
      <c r="J30" s="23">
        <f>COUNTIF(Paper→Ontology!$E$5:$E$64,A30)+COUNTIF(Paper→Ontology!$F$5:$F$64,A30)</f>
        <v>6</v>
      </c>
    </row>
    <row r="32" spans="1:13" ht="15" customHeight="1" x14ac:dyDescent="0.35">
      <c r="A32" s="10" t="s">
        <v>188</v>
      </c>
      <c r="B32" s="10"/>
      <c r="C32" s="10"/>
      <c r="D32" s="10"/>
      <c r="E32" s="10"/>
      <c r="F32" s="10"/>
      <c r="G32" s="10"/>
      <c r="H32" s="10"/>
      <c r="I32" s="10"/>
      <c r="J32" s="10"/>
    </row>
    <row r="33" spans="1:13" x14ac:dyDescent="0.35">
      <c r="A33" s="14" t="s">
        <v>189</v>
      </c>
      <c r="B33" s="14" t="s">
        <v>190</v>
      </c>
      <c r="C33" s="14" t="s">
        <v>191</v>
      </c>
      <c r="D33" s="14" t="s">
        <v>192</v>
      </c>
    </row>
    <row r="34" spans="1:13" ht="45" customHeight="1" x14ac:dyDescent="0.35">
      <c r="A34" s="20" t="s">
        <v>193</v>
      </c>
      <c r="B34" s="21" t="s">
        <v>194</v>
      </c>
      <c r="C34" s="21" t="s">
        <v>195</v>
      </c>
      <c r="D34" s="21" t="s">
        <v>196</v>
      </c>
    </row>
    <row r="35" spans="1:13" ht="45" customHeight="1" x14ac:dyDescent="0.35">
      <c r="A35" s="20" t="s">
        <v>197</v>
      </c>
      <c r="B35" s="21" t="s">
        <v>198</v>
      </c>
      <c r="C35" s="21" t="s">
        <v>199</v>
      </c>
      <c r="D35" s="21" t="s">
        <v>200</v>
      </c>
    </row>
    <row r="36" spans="1:13" ht="45" customHeight="1" x14ac:dyDescent="0.35">
      <c r="A36" s="20" t="s">
        <v>201</v>
      </c>
      <c r="B36" s="21" t="s">
        <v>202</v>
      </c>
      <c r="C36" s="21" t="s">
        <v>203</v>
      </c>
      <c r="D36" s="21" t="s">
        <v>204</v>
      </c>
    </row>
    <row r="37" spans="1:13" ht="45" customHeight="1" x14ac:dyDescent="0.35">
      <c r="A37" s="20" t="s">
        <v>205</v>
      </c>
      <c r="B37" s="21" t="s">
        <v>206</v>
      </c>
      <c r="C37" s="21" t="s">
        <v>207</v>
      </c>
      <c r="D37" s="21" t="s">
        <v>208</v>
      </c>
    </row>
    <row r="38" spans="1:13" ht="45" customHeight="1" x14ac:dyDescent="0.35">
      <c r="A38" s="20" t="s">
        <v>209</v>
      </c>
      <c r="B38" s="21" t="s">
        <v>210</v>
      </c>
      <c r="C38" s="21" t="s">
        <v>211</v>
      </c>
      <c r="D38" s="21" t="s">
        <v>212</v>
      </c>
    </row>
    <row r="39" spans="1:13" ht="45" customHeight="1" x14ac:dyDescent="0.35">
      <c r="A39" s="20" t="s">
        <v>213</v>
      </c>
      <c r="B39" s="21" t="s">
        <v>214</v>
      </c>
      <c r="C39" s="21" t="s">
        <v>215</v>
      </c>
      <c r="D39" s="21" t="s">
        <v>216</v>
      </c>
    </row>
    <row r="40" spans="1:13" ht="45" customHeight="1" x14ac:dyDescent="0.35">
      <c r="A40" s="20" t="s">
        <v>217</v>
      </c>
      <c r="B40" s="21" t="s">
        <v>218</v>
      </c>
      <c r="C40" s="21" t="s">
        <v>219</v>
      </c>
      <c r="D40" s="21" t="s">
        <v>220</v>
      </c>
    </row>
    <row r="41" spans="1:13" ht="45" customHeight="1" x14ac:dyDescent="0.35">
      <c r="A41" s="20" t="s">
        <v>221</v>
      </c>
      <c r="B41" s="21" t="s">
        <v>222</v>
      </c>
      <c r="C41" s="21" t="s">
        <v>223</v>
      </c>
      <c r="D41" s="21" t="s">
        <v>224</v>
      </c>
    </row>
    <row r="42" spans="1:13" ht="45" customHeight="1" x14ac:dyDescent="0.35">
      <c r="A42" s="20" t="s">
        <v>225</v>
      </c>
      <c r="B42" s="21" t="s">
        <v>226</v>
      </c>
      <c r="C42" s="21" t="s">
        <v>227</v>
      </c>
      <c r="D42" s="21" t="s">
        <v>228</v>
      </c>
    </row>
    <row r="43" spans="1:13" ht="45" customHeight="1" x14ac:dyDescent="0.35">
      <c r="A43" s="20" t="s">
        <v>229</v>
      </c>
      <c r="B43" s="21" t="s">
        <v>230</v>
      </c>
      <c r="C43" s="21" t="s">
        <v>231</v>
      </c>
      <c r="D43" s="21" t="s">
        <v>232</v>
      </c>
    </row>
    <row r="44" spans="1:13" x14ac:dyDescent="0.35">
      <c r="L44" s="14" t="s">
        <v>233</v>
      </c>
      <c r="M44" s="14" t="s">
        <v>234</v>
      </c>
    </row>
    <row r="45" spans="1:13" ht="46.25" customHeight="1" x14ac:dyDescent="0.3">
      <c r="A45" s="7" t="s">
        <v>235</v>
      </c>
      <c r="B45" s="7"/>
      <c r="C45" s="7"/>
      <c r="D45" s="7"/>
      <c r="E45" s="7"/>
      <c r="F45" s="7"/>
      <c r="G45" s="7"/>
      <c r="H45" s="7"/>
      <c r="I45" s="7"/>
      <c r="J45" s="7"/>
      <c r="L45" s="15" t="s">
        <v>236</v>
      </c>
      <c r="M45" s="15" t="s">
        <v>237</v>
      </c>
    </row>
    <row r="46" spans="1:13" ht="52" x14ac:dyDescent="0.35">
      <c r="L46" s="15" t="s">
        <v>238</v>
      </c>
      <c r="M46" s="15" t="s">
        <v>239</v>
      </c>
    </row>
    <row r="47" spans="1:13" ht="52" x14ac:dyDescent="0.35">
      <c r="L47" s="15" t="s">
        <v>240</v>
      </c>
      <c r="M47" s="15" t="s">
        <v>241</v>
      </c>
    </row>
    <row r="48" spans="1:13" ht="52" x14ac:dyDescent="0.35">
      <c r="L48" s="15" t="s">
        <v>242</v>
      </c>
      <c r="M48" s="15" t="s">
        <v>243</v>
      </c>
    </row>
  </sheetData>
  <mergeCells count="7">
    <mergeCell ref="A32:J32"/>
    <mergeCell ref="A45:J45"/>
    <mergeCell ref="A1:G1"/>
    <mergeCell ref="L1:M1"/>
    <mergeCell ref="A2:J2"/>
    <mergeCell ref="A4:J4"/>
    <mergeCell ref="A13:J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1"/>
  <sheetViews>
    <sheetView tabSelected="1" topLeftCell="A32" zoomScaleNormal="100" workbookViewId="0"/>
  </sheetViews>
  <sheetFormatPr defaultColWidth="8.6328125" defaultRowHeight="14.5" x14ac:dyDescent="0.35"/>
  <cols>
    <col min="1" max="1" width="10" style="12" customWidth="1"/>
    <col min="2" max="2" width="22" style="12" customWidth="1"/>
    <col min="3" max="3" width="8" style="12" customWidth="1"/>
    <col min="4" max="4" width="42" style="12" customWidth="1"/>
    <col min="5" max="6" width="25" style="12" customWidth="1"/>
    <col min="7" max="7" width="38" style="12" customWidth="1"/>
    <col min="8" max="8" width="43" style="12" customWidth="1"/>
    <col min="9" max="9" width="46" style="12" customWidth="1"/>
    <col min="10" max="10" width="34" style="12" customWidth="1"/>
    <col min="11" max="11" width="32" style="12" customWidth="1"/>
    <col min="12" max="12" width="26" style="12" customWidth="1"/>
    <col min="13" max="13" width="25" style="12" customWidth="1"/>
    <col min="14" max="14" width="22" style="12" customWidth="1"/>
    <col min="15" max="15" width="34" style="12" customWidth="1"/>
    <col min="16" max="16" width="31" style="12" customWidth="1"/>
    <col min="17" max="17" width="24" style="12" customWidth="1"/>
    <col min="18" max="18" width="46" style="12" customWidth="1"/>
    <col min="19" max="19" width="36" style="12" customWidth="1"/>
    <col min="20" max="20" width="18" style="12" customWidth="1"/>
    <col min="21" max="21" width="26" style="12" customWidth="1"/>
    <col min="22" max="22" width="30" style="12" customWidth="1"/>
    <col min="23" max="23" width="22" style="12" customWidth="1"/>
    <col min="24" max="24" width="26" style="12" customWidth="1"/>
    <col min="25" max="25" width="22" style="12" customWidth="1"/>
  </cols>
  <sheetData>
    <row r="1" spans="1:25" ht="33.75" customHeight="1" x14ac:dyDescent="0.25">
      <c r="A1" s="27" t="s">
        <v>244</v>
      </c>
      <c r="B1" s="27" t="s">
        <v>245</v>
      </c>
      <c r="C1" s="27" t="s">
        <v>246</v>
      </c>
      <c r="D1" s="27" t="s">
        <v>247</v>
      </c>
      <c r="E1" s="27" t="s">
        <v>248</v>
      </c>
      <c r="F1" s="27" t="s">
        <v>249</v>
      </c>
      <c r="G1" s="27" t="s">
        <v>250</v>
      </c>
      <c r="H1" s="27" t="s">
        <v>251</v>
      </c>
      <c r="I1" s="27" t="s">
        <v>252</v>
      </c>
      <c r="J1" s="27" t="s">
        <v>253</v>
      </c>
      <c r="K1" s="27" t="s">
        <v>254</v>
      </c>
      <c r="L1" s="27" t="s">
        <v>255</v>
      </c>
      <c r="M1" s="27" t="s">
        <v>256</v>
      </c>
      <c r="N1" s="27" t="s">
        <v>48</v>
      </c>
      <c r="O1" s="27" t="s">
        <v>257</v>
      </c>
      <c r="P1" s="27" t="s">
        <v>258</v>
      </c>
      <c r="Q1" s="27" t="s">
        <v>259</v>
      </c>
      <c r="R1" s="27" t="s">
        <v>260</v>
      </c>
      <c r="S1" s="27" t="s">
        <v>261</v>
      </c>
      <c r="T1" s="28" t="s">
        <v>262</v>
      </c>
      <c r="U1" s="28" t="s">
        <v>263</v>
      </c>
      <c r="V1" s="28" t="s">
        <v>264</v>
      </c>
      <c r="W1" s="29" t="s">
        <v>265</v>
      </c>
      <c r="X1" s="29" t="s">
        <v>266</v>
      </c>
      <c r="Y1" s="29" t="s">
        <v>267</v>
      </c>
    </row>
    <row r="2" spans="1:25" ht="43.5" x14ac:dyDescent="0.25">
      <c r="A2" s="30" t="s">
        <v>268</v>
      </c>
      <c r="B2" s="30" t="s">
        <v>269</v>
      </c>
      <c r="C2" s="30" t="s">
        <v>270</v>
      </c>
      <c r="D2" s="17" t="s">
        <v>271</v>
      </c>
      <c r="E2" s="17" t="s">
        <v>272</v>
      </c>
      <c r="F2" s="17" t="s">
        <v>273</v>
      </c>
      <c r="G2" s="17" t="s">
        <v>274</v>
      </c>
      <c r="H2" s="17" t="s">
        <v>275</v>
      </c>
      <c r="I2" s="17" t="s">
        <v>276</v>
      </c>
      <c r="J2" s="17" t="s">
        <v>277</v>
      </c>
      <c r="K2" s="17" t="s">
        <v>278</v>
      </c>
      <c r="L2" s="17" t="s">
        <v>279</v>
      </c>
      <c r="M2" s="17" t="s">
        <v>280</v>
      </c>
      <c r="N2" s="17" t="s">
        <v>281</v>
      </c>
      <c r="O2" s="17" t="s">
        <v>282</v>
      </c>
      <c r="P2" s="17" t="s">
        <v>283</v>
      </c>
      <c r="Q2" s="17" t="s">
        <v>284</v>
      </c>
      <c r="R2" s="31" t="s">
        <v>285</v>
      </c>
      <c r="S2" s="17" t="s">
        <v>286</v>
      </c>
      <c r="T2" s="32" t="s">
        <v>287</v>
      </c>
      <c r="U2" s="33" t="s">
        <v>288</v>
      </c>
      <c r="V2" s="33" t="s">
        <v>289</v>
      </c>
      <c r="W2" s="34" t="s">
        <v>290</v>
      </c>
      <c r="X2" s="34" t="s">
        <v>291</v>
      </c>
      <c r="Y2" s="34" t="s">
        <v>292</v>
      </c>
    </row>
    <row r="3" spans="1:25" ht="43.5" x14ac:dyDescent="0.25">
      <c r="A3" s="30" t="s">
        <v>293</v>
      </c>
      <c r="B3" s="30" t="s">
        <v>269</v>
      </c>
      <c r="C3" s="30" t="s">
        <v>270</v>
      </c>
      <c r="D3" s="17" t="s">
        <v>294</v>
      </c>
      <c r="E3" s="17" t="s">
        <v>272</v>
      </c>
      <c r="F3" s="17" t="s">
        <v>295</v>
      </c>
      <c r="G3" s="17" t="s">
        <v>296</v>
      </c>
      <c r="H3" s="17" t="s">
        <v>297</v>
      </c>
      <c r="I3" s="17" t="s">
        <v>298</v>
      </c>
      <c r="J3" s="17" t="s">
        <v>299</v>
      </c>
      <c r="K3" s="17" t="s">
        <v>278</v>
      </c>
      <c r="L3" s="17" t="s">
        <v>300</v>
      </c>
      <c r="M3" s="17" t="s">
        <v>301</v>
      </c>
      <c r="N3" s="17" t="s">
        <v>281</v>
      </c>
      <c r="O3" s="17" t="s">
        <v>302</v>
      </c>
      <c r="P3" s="17" t="s">
        <v>303</v>
      </c>
      <c r="Q3" s="17" t="s">
        <v>284</v>
      </c>
      <c r="R3" s="31" t="s">
        <v>304</v>
      </c>
      <c r="S3" s="17" t="s">
        <v>305</v>
      </c>
      <c r="T3" s="32" t="s">
        <v>287</v>
      </c>
      <c r="U3" s="33" t="s">
        <v>288</v>
      </c>
      <c r="V3" s="33" t="s">
        <v>289</v>
      </c>
      <c r="W3" s="34" t="s">
        <v>306</v>
      </c>
      <c r="X3" s="34" t="s">
        <v>307</v>
      </c>
      <c r="Y3" s="34" t="s">
        <v>308</v>
      </c>
    </row>
    <row r="4" spans="1:25" ht="58" x14ac:dyDescent="0.25">
      <c r="A4" s="30" t="s">
        <v>309</v>
      </c>
      <c r="B4" s="30" t="s">
        <v>269</v>
      </c>
      <c r="C4" s="30" t="s">
        <v>270</v>
      </c>
      <c r="D4" s="17" t="s">
        <v>310</v>
      </c>
      <c r="E4" s="17" t="s">
        <v>311</v>
      </c>
      <c r="F4" s="17" t="s">
        <v>312</v>
      </c>
      <c r="G4" s="17" t="s">
        <v>313</v>
      </c>
      <c r="H4" s="17" t="s">
        <v>314</v>
      </c>
      <c r="I4" s="17" t="s">
        <v>315</v>
      </c>
      <c r="J4" s="17" t="s">
        <v>316</v>
      </c>
      <c r="K4" s="17" t="s">
        <v>278</v>
      </c>
      <c r="L4" s="17" t="s">
        <v>317</v>
      </c>
      <c r="M4" s="17" t="s">
        <v>318</v>
      </c>
      <c r="N4" s="17" t="s">
        <v>281</v>
      </c>
      <c r="O4" s="17" t="s">
        <v>319</v>
      </c>
      <c r="P4" s="17" t="s">
        <v>320</v>
      </c>
      <c r="Q4" s="17" t="s">
        <v>284</v>
      </c>
      <c r="R4" s="31" t="s">
        <v>321</v>
      </c>
      <c r="S4" s="17" t="s">
        <v>322</v>
      </c>
      <c r="T4" s="32" t="s">
        <v>287</v>
      </c>
      <c r="U4" s="33" t="s">
        <v>288</v>
      </c>
      <c r="V4" s="33" t="s">
        <v>289</v>
      </c>
      <c r="W4" s="34" t="s">
        <v>323</v>
      </c>
      <c r="X4" s="34" t="s">
        <v>324</v>
      </c>
      <c r="Y4" s="34" t="s">
        <v>325</v>
      </c>
    </row>
    <row r="5" spans="1:25" ht="43.5" x14ac:dyDescent="0.25">
      <c r="A5" s="30" t="s">
        <v>326</v>
      </c>
      <c r="B5" s="30" t="s">
        <v>269</v>
      </c>
      <c r="C5" s="30" t="s">
        <v>270</v>
      </c>
      <c r="D5" s="17" t="s">
        <v>327</v>
      </c>
      <c r="E5" s="17" t="s">
        <v>328</v>
      </c>
      <c r="F5" s="17" t="s">
        <v>329</v>
      </c>
      <c r="G5" s="17" t="s">
        <v>330</v>
      </c>
      <c r="H5" s="17" t="s">
        <v>331</v>
      </c>
      <c r="I5" s="17" t="s">
        <v>332</v>
      </c>
      <c r="J5" s="17" t="s">
        <v>333</v>
      </c>
      <c r="K5" s="17" t="s">
        <v>278</v>
      </c>
      <c r="L5" s="17" t="s">
        <v>334</v>
      </c>
      <c r="M5" s="17" t="s">
        <v>335</v>
      </c>
      <c r="N5" s="17" t="s">
        <v>281</v>
      </c>
      <c r="O5" s="17" t="s">
        <v>336</v>
      </c>
      <c r="P5" s="17" t="s">
        <v>337</v>
      </c>
      <c r="Q5" s="17" t="s">
        <v>284</v>
      </c>
      <c r="R5" s="31" t="s">
        <v>338</v>
      </c>
      <c r="S5" s="17" t="s">
        <v>339</v>
      </c>
      <c r="T5" s="32" t="s">
        <v>287</v>
      </c>
      <c r="U5" s="33" t="s">
        <v>288</v>
      </c>
      <c r="V5" s="33" t="s">
        <v>289</v>
      </c>
      <c r="W5" s="34" t="s">
        <v>340</v>
      </c>
      <c r="X5" s="34" t="s">
        <v>341</v>
      </c>
      <c r="Y5" s="34" t="s">
        <v>342</v>
      </c>
    </row>
    <row r="6" spans="1:25" ht="43.5" x14ac:dyDescent="0.25">
      <c r="A6" s="30" t="s">
        <v>343</v>
      </c>
      <c r="B6" s="30" t="s">
        <v>269</v>
      </c>
      <c r="C6" s="30" t="s">
        <v>270</v>
      </c>
      <c r="D6" s="17" t="s">
        <v>344</v>
      </c>
      <c r="E6" s="17" t="s">
        <v>345</v>
      </c>
      <c r="F6" s="17" t="s">
        <v>346</v>
      </c>
      <c r="G6" s="17" t="s">
        <v>347</v>
      </c>
      <c r="H6" s="17" t="s">
        <v>348</v>
      </c>
      <c r="I6" s="17" t="s">
        <v>349</v>
      </c>
      <c r="J6" s="17" t="s">
        <v>350</v>
      </c>
      <c r="K6" s="17" t="s">
        <v>316</v>
      </c>
      <c r="L6" s="17" t="s">
        <v>351</v>
      </c>
      <c r="M6" s="17" t="s">
        <v>352</v>
      </c>
      <c r="N6" s="17" t="s">
        <v>281</v>
      </c>
      <c r="O6" s="17" t="s">
        <v>353</v>
      </c>
      <c r="P6" s="17" t="s">
        <v>354</v>
      </c>
      <c r="Q6" s="17" t="s">
        <v>284</v>
      </c>
      <c r="R6" s="31" t="s">
        <v>355</v>
      </c>
      <c r="S6" s="17" t="s">
        <v>356</v>
      </c>
      <c r="T6" s="32" t="s">
        <v>287</v>
      </c>
      <c r="U6" s="33" t="s">
        <v>288</v>
      </c>
      <c r="V6" s="33" t="s">
        <v>289</v>
      </c>
      <c r="W6" s="34" t="s">
        <v>357</v>
      </c>
      <c r="X6" s="34" t="s">
        <v>358</v>
      </c>
      <c r="Y6" s="34" t="s">
        <v>342</v>
      </c>
    </row>
    <row r="7" spans="1:25" ht="58" x14ac:dyDescent="0.25">
      <c r="A7" s="30" t="s">
        <v>359</v>
      </c>
      <c r="B7" s="30" t="s">
        <v>269</v>
      </c>
      <c r="C7" s="30" t="s">
        <v>270</v>
      </c>
      <c r="D7" s="17" t="s">
        <v>360</v>
      </c>
      <c r="E7" s="17" t="s">
        <v>328</v>
      </c>
      <c r="F7" s="17" t="s">
        <v>361</v>
      </c>
      <c r="G7" s="17" t="s">
        <v>362</v>
      </c>
      <c r="H7" s="17" t="s">
        <v>363</v>
      </c>
      <c r="I7" s="17" t="s">
        <v>364</v>
      </c>
      <c r="J7" s="17" t="s">
        <v>333</v>
      </c>
      <c r="K7" s="17" t="s">
        <v>278</v>
      </c>
      <c r="L7" s="17" t="s">
        <v>365</v>
      </c>
      <c r="M7" s="17" t="s">
        <v>366</v>
      </c>
      <c r="N7" s="17" t="s">
        <v>281</v>
      </c>
      <c r="O7" s="17" t="s">
        <v>367</v>
      </c>
      <c r="P7" s="17" t="s">
        <v>368</v>
      </c>
      <c r="Q7" s="17" t="s">
        <v>284</v>
      </c>
      <c r="R7" s="31" t="s">
        <v>369</v>
      </c>
      <c r="S7" s="17" t="s">
        <v>356</v>
      </c>
      <c r="T7" s="32" t="s">
        <v>287</v>
      </c>
      <c r="U7" s="33" t="s">
        <v>288</v>
      </c>
      <c r="V7" s="33" t="s">
        <v>289</v>
      </c>
      <c r="W7" s="34" t="s">
        <v>340</v>
      </c>
      <c r="X7" s="34" t="s">
        <v>341</v>
      </c>
      <c r="Y7" s="34" t="s">
        <v>342</v>
      </c>
    </row>
    <row r="8" spans="1:25" ht="43.5" x14ac:dyDescent="0.25">
      <c r="A8" s="30" t="s">
        <v>370</v>
      </c>
      <c r="B8" s="30" t="s">
        <v>269</v>
      </c>
      <c r="C8" s="30" t="s">
        <v>270</v>
      </c>
      <c r="D8" s="17" t="s">
        <v>371</v>
      </c>
      <c r="E8" s="17" t="s">
        <v>372</v>
      </c>
      <c r="F8" s="17" t="s">
        <v>373</v>
      </c>
      <c r="G8" s="17" t="s">
        <v>374</v>
      </c>
      <c r="H8" s="17" t="s">
        <v>375</v>
      </c>
      <c r="I8" s="17" t="s">
        <v>376</v>
      </c>
      <c r="J8" s="17" t="s">
        <v>377</v>
      </c>
      <c r="K8" s="17" t="s">
        <v>278</v>
      </c>
      <c r="L8" s="17" t="s">
        <v>378</v>
      </c>
      <c r="M8" s="17" t="s">
        <v>379</v>
      </c>
      <c r="N8" s="17" t="s">
        <v>281</v>
      </c>
      <c r="O8" s="17" t="s">
        <v>380</v>
      </c>
      <c r="P8" s="17" t="s">
        <v>381</v>
      </c>
      <c r="Q8" s="17" t="s">
        <v>284</v>
      </c>
      <c r="R8" s="31" t="s">
        <v>382</v>
      </c>
      <c r="S8" s="17" t="s">
        <v>383</v>
      </c>
      <c r="T8" s="32" t="s">
        <v>287</v>
      </c>
      <c r="U8" s="33" t="s">
        <v>288</v>
      </c>
      <c r="V8" s="33" t="s">
        <v>289</v>
      </c>
      <c r="W8" s="34" t="s">
        <v>290</v>
      </c>
      <c r="X8" s="34" t="s">
        <v>384</v>
      </c>
      <c r="Y8" s="34" t="s">
        <v>385</v>
      </c>
    </row>
    <row r="9" spans="1:25" ht="43.5" x14ac:dyDescent="0.25">
      <c r="A9" s="30" t="s">
        <v>386</v>
      </c>
      <c r="B9" s="30" t="s">
        <v>269</v>
      </c>
      <c r="C9" s="30" t="s">
        <v>270</v>
      </c>
      <c r="D9" s="17" t="s">
        <v>387</v>
      </c>
      <c r="E9" s="17" t="s">
        <v>388</v>
      </c>
      <c r="F9" s="17" t="s">
        <v>389</v>
      </c>
      <c r="G9" s="17" t="s">
        <v>390</v>
      </c>
      <c r="H9" s="17" t="s">
        <v>391</v>
      </c>
      <c r="I9" s="17" t="s">
        <v>392</v>
      </c>
      <c r="J9" s="17" t="s">
        <v>277</v>
      </c>
      <c r="K9" s="17" t="s">
        <v>278</v>
      </c>
      <c r="L9" s="17" t="s">
        <v>378</v>
      </c>
      <c r="M9" s="17" t="s">
        <v>393</v>
      </c>
      <c r="N9" s="17" t="s">
        <v>281</v>
      </c>
      <c r="O9" s="17" t="s">
        <v>394</v>
      </c>
      <c r="P9" s="17" t="s">
        <v>395</v>
      </c>
      <c r="Q9" s="17" t="s">
        <v>284</v>
      </c>
      <c r="R9" s="31" t="s">
        <v>396</v>
      </c>
      <c r="S9" s="17" t="s">
        <v>356</v>
      </c>
      <c r="T9" s="32" t="s">
        <v>287</v>
      </c>
      <c r="U9" s="33" t="s">
        <v>288</v>
      </c>
      <c r="V9" s="33" t="s">
        <v>289</v>
      </c>
      <c r="W9" s="34" t="s">
        <v>290</v>
      </c>
      <c r="X9" s="34" t="s">
        <v>291</v>
      </c>
      <c r="Y9" s="34" t="s">
        <v>292</v>
      </c>
    </row>
    <row r="10" spans="1:25" ht="43.5" x14ac:dyDescent="0.25">
      <c r="A10" s="30" t="s">
        <v>397</v>
      </c>
      <c r="B10" s="30" t="s">
        <v>269</v>
      </c>
      <c r="C10" s="30" t="s">
        <v>270</v>
      </c>
      <c r="D10" s="17" t="s">
        <v>398</v>
      </c>
      <c r="E10" s="17" t="s">
        <v>399</v>
      </c>
      <c r="F10" s="17" t="s">
        <v>400</v>
      </c>
      <c r="G10" s="17" t="s">
        <v>401</v>
      </c>
      <c r="H10" s="17" t="s">
        <v>402</v>
      </c>
      <c r="I10" s="17" t="s">
        <v>403</v>
      </c>
      <c r="J10" s="17" t="s">
        <v>278</v>
      </c>
      <c r="K10" s="17" t="s">
        <v>277</v>
      </c>
      <c r="L10" s="17" t="s">
        <v>404</v>
      </c>
      <c r="M10" s="17" t="s">
        <v>405</v>
      </c>
      <c r="N10" s="17" t="s">
        <v>406</v>
      </c>
      <c r="O10" s="17" t="s">
        <v>407</v>
      </c>
      <c r="P10" s="17" t="s">
        <v>408</v>
      </c>
      <c r="Q10" s="17" t="s">
        <v>284</v>
      </c>
      <c r="R10" s="31" t="s">
        <v>409</v>
      </c>
      <c r="S10" s="17" t="s">
        <v>410</v>
      </c>
      <c r="T10" s="32" t="s">
        <v>287</v>
      </c>
      <c r="U10" s="33" t="s">
        <v>288</v>
      </c>
      <c r="V10" s="33" t="s">
        <v>289</v>
      </c>
      <c r="W10" s="34" t="s">
        <v>323</v>
      </c>
      <c r="X10" s="34" t="s">
        <v>411</v>
      </c>
      <c r="Y10" s="34" t="s">
        <v>308</v>
      </c>
    </row>
    <row r="11" spans="1:25" ht="58" x14ac:dyDescent="0.25">
      <c r="A11" s="30" t="s">
        <v>412</v>
      </c>
      <c r="B11" s="30" t="s">
        <v>269</v>
      </c>
      <c r="C11" s="30" t="s">
        <v>270</v>
      </c>
      <c r="D11" s="17" t="s">
        <v>413</v>
      </c>
      <c r="E11" s="17" t="s">
        <v>414</v>
      </c>
      <c r="F11" s="17" t="s">
        <v>415</v>
      </c>
      <c r="G11" s="17" t="s">
        <v>416</v>
      </c>
      <c r="H11" s="17" t="s">
        <v>417</v>
      </c>
      <c r="I11" s="17" t="s">
        <v>418</v>
      </c>
      <c r="J11" s="17" t="s">
        <v>419</v>
      </c>
      <c r="K11" s="17" t="s">
        <v>420</v>
      </c>
      <c r="L11" s="17" t="s">
        <v>421</v>
      </c>
      <c r="M11" s="17" t="s">
        <v>422</v>
      </c>
      <c r="N11" s="17" t="s">
        <v>423</v>
      </c>
      <c r="O11" s="17" t="s">
        <v>424</v>
      </c>
      <c r="P11" s="17" t="s">
        <v>425</v>
      </c>
      <c r="Q11" s="17" t="s">
        <v>284</v>
      </c>
      <c r="R11" s="31" t="s">
        <v>426</v>
      </c>
      <c r="S11" s="17" t="s">
        <v>427</v>
      </c>
      <c r="T11" s="32" t="s">
        <v>287</v>
      </c>
      <c r="U11" s="33" t="s">
        <v>288</v>
      </c>
      <c r="V11" s="33" t="s">
        <v>289</v>
      </c>
      <c r="W11" s="34" t="s">
        <v>323</v>
      </c>
      <c r="X11" s="34" t="s">
        <v>428</v>
      </c>
      <c r="Y11" s="34" t="s">
        <v>429</v>
      </c>
    </row>
    <row r="12" spans="1:25" ht="29" x14ac:dyDescent="0.25">
      <c r="A12" s="30" t="s">
        <v>430</v>
      </c>
      <c r="B12" s="30" t="s">
        <v>269</v>
      </c>
      <c r="C12" s="30" t="s">
        <v>270</v>
      </c>
      <c r="D12" s="17" t="s">
        <v>431</v>
      </c>
      <c r="E12" s="17" t="s">
        <v>432</v>
      </c>
      <c r="F12" s="17" t="s">
        <v>433</v>
      </c>
      <c r="G12" s="17" t="s">
        <v>434</v>
      </c>
      <c r="H12" s="17" t="s">
        <v>435</v>
      </c>
      <c r="I12" s="17" t="s">
        <v>436</v>
      </c>
      <c r="J12" s="17" t="s">
        <v>277</v>
      </c>
      <c r="K12" s="17" t="s">
        <v>377</v>
      </c>
      <c r="L12" s="17" t="s">
        <v>437</v>
      </c>
      <c r="M12" s="17" t="s">
        <v>438</v>
      </c>
      <c r="N12" s="17" t="s">
        <v>281</v>
      </c>
      <c r="O12" s="17" t="s">
        <v>439</v>
      </c>
      <c r="P12" s="17" t="s">
        <v>440</v>
      </c>
      <c r="Q12" s="17" t="s">
        <v>284</v>
      </c>
      <c r="R12" s="31" t="s">
        <v>441</v>
      </c>
      <c r="S12" s="17" t="s">
        <v>442</v>
      </c>
      <c r="T12" s="32" t="s">
        <v>287</v>
      </c>
      <c r="U12" s="33" t="s">
        <v>288</v>
      </c>
      <c r="V12" s="33" t="s">
        <v>289</v>
      </c>
      <c r="W12" s="34" t="s">
        <v>290</v>
      </c>
      <c r="X12" s="34" t="s">
        <v>291</v>
      </c>
      <c r="Y12" s="34" t="s">
        <v>292</v>
      </c>
    </row>
    <row r="13" spans="1:25" ht="43.5" x14ac:dyDescent="0.25">
      <c r="A13" s="30" t="s">
        <v>443</v>
      </c>
      <c r="B13" s="30" t="s">
        <v>269</v>
      </c>
      <c r="C13" s="30" t="s">
        <v>270</v>
      </c>
      <c r="D13" s="17" t="s">
        <v>444</v>
      </c>
      <c r="E13" s="17" t="s">
        <v>445</v>
      </c>
      <c r="F13" s="17" t="s">
        <v>446</v>
      </c>
      <c r="G13" s="17" t="s">
        <v>447</v>
      </c>
      <c r="H13" s="17" t="s">
        <v>448</v>
      </c>
      <c r="I13" s="17" t="s">
        <v>449</v>
      </c>
      <c r="J13" s="17" t="s">
        <v>350</v>
      </c>
      <c r="K13" s="17" t="s">
        <v>278</v>
      </c>
      <c r="L13" s="17" t="s">
        <v>450</v>
      </c>
      <c r="M13" s="17" t="s">
        <v>451</v>
      </c>
      <c r="N13" s="17" t="s">
        <v>281</v>
      </c>
      <c r="O13" s="17" t="s">
        <v>452</v>
      </c>
      <c r="P13" s="17" t="s">
        <v>453</v>
      </c>
      <c r="Q13" s="17" t="s">
        <v>284</v>
      </c>
      <c r="R13" s="31" t="s">
        <v>454</v>
      </c>
      <c r="S13" s="17" t="s">
        <v>455</v>
      </c>
      <c r="T13" s="32" t="s">
        <v>287</v>
      </c>
      <c r="U13" s="33" t="s">
        <v>288</v>
      </c>
      <c r="V13" s="33" t="s">
        <v>289</v>
      </c>
      <c r="W13" s="34" t="s">
        <v>357</v>
      </c>
      <c r="X13" s="34" t="s">
        <v>358</v>
      </c>
      <c r="Y13" s="34" t="s">
        <v>342</v>
      </c>
    </row>
    <row r="14" spans="1:25" ht="29" x14ac:dyDescent="0.25">
      <c r="A14" s="30" t="s">
        <v>456</v>
      </c>
      <c r="B14" s="30" t="s">
        <v>269</v>
      </c>
      <c r="C14" s="30" t="s">
        <v>270</v>
      </c>
      <c r="D14" s="17" t="s">
        <v>457</v>
      </c>
      <c r="E14" s="17" t="s">
        <v>458</v>
      </c>
      <c r="F14" s="17" t="s">
        <v>459</v>
      </c>
      <c r="G14" s="17" t="s">
        <v>460</v>
      </c>
      <c r="H14" s="17" t="s">
        <v>461</v>
      </c>
      <c r="I14" s="17" t="s">
        <v>462</v>
      </c>
      <c r="J14" s="17" t="s">
        <v>278</v>
      </c>
      <c r="K14" s="17" t="s">
        <v>277</v>
      </c>
      <c r="L14" s="17" t="s">
        <v>463</v>
      </c>
      <c r="M14" s="17" t="s">
        <v>464</v>
      </c>
      <c r="N14" s="17" t="s">
        <v>281</v>
      </c>
      <c r="O14" s="17" t="s">
        <v>465</v>
      </c>
      <c r="P14" s="17" t="s">
        <v>466</v>
      </c>
      <c r="Q14" s="17" t="s">
        <v>284</v>
      </c>
      <c r="R14" s="31" t="s">
        <v>467</v>
      </c>
      <c r="S14" s="17" t="s">
        <v>468</v>
      </c>
      <c r="T14" s="32" t="s">
        <v>287</v>
      </c>
      <c r="U14" s="33" t="s">
        <v>288</v>
      </c>
      <c r="V14" s="33" t="s">
        <v>289</v>
      </c>
      <c r="W14" s="34" t="s">
        <v>323</v>
      </c>
      <c r="X14" s="34" t="s">
        <v>411</v>
      </c>
      <c r="Y14" s="34" t="s">
        <v>308</v>
      </c>
    </row>
    <row r="15" spans="1:25" ht="43.5" x14ac:dyDescent="0.25">
      <c r="A15" s="30" t="s">
        <v>469</v>
      </c>
      <c r="B15" s="30" t="s">
        <v>269</v>
      </c>
      <c r="C15" s="30" t="s">
        <v>270</v>
      </c>
      <c r="D15" s="17" t="s">
        <v>470</v>
      </c>
      <c r="E15" s="17" t="s">
        <v>471</v>
      </c>
      <c r="F15" s="17" t="s">
        <v>472</v>
      </c>
      <c r="G15" s="17" t="s">
        <v>473</v>
      </c>
      <c r="H15" s="17" t="s">
        <v>474</v>
      </c>
      <c r="I15" s="17" t="s">
        <v>475</v>
      </c>
      <c r="J15" s="17" t="s">
        <v>299</v>
      </c>
      <c r="K15" s="17" t="s">
        <v>278</v>
      </c>
      <c r="L15" s="17" t="s">
        <v>476</v>
      </c>
      <c r="M15" s="17" t="s">
        <v>477</v>
      </c>
      <c r="N15" s="17" t="s">
        <v>281</v>
      </c>
      <c r="O15" s="17" t="s">
        <v>478</v>
      </c>
      <c r="P15" s="17" t="s">
        <v>479</v>
      </c>
      <c r="Q15" s="17" t="s">
        <v>284</v>
      </c>
      <c r="R15" s="31" t="s">
        <v>480</v>
      </c>
      <c r="S15" s="17" t="s">
        <v>481</v>
      </c>
      <c r="T15" s="32" t="s">
        <v>287</v>
      </c>
      <c r="U15" s="33" t="s">
        <v>288</v>
      </c>
      <c r="V15" s="33" t="s">
        <v>289</v>
      </c>
      <c r="W15" s="34" t="s">
        <v>306</v>
      </c>
      <c r="X15" s="34" t="s">
        <v>307</v>
      </c>
      <c r="Y15" s="34" t="s">
        <v>308</v>
      </c>
    </row>
    <row r="16" spans="1:25" ht="43.5" x14ac:dyDescent="0.25">
      <c r="A16" s="30" t="s">
        <v>482</v>
      </c>
      <c r="B16" s="30" t="s">
        <v>269</v>
      </c>
      <c r="C16" s="30" t="s">
        <v>270</v>
      </c>
      <c r="D16" s="17" t="s">
        <v>483</v>
      </c>
      <c r="E16" s="17" t="s">
        <v>484</v>
      </c>
      <c r="F16" s="17" t="s">
        <v>485</v>
      </c>
      <c r="G16" s="17" t="s">
        <v>486</v>
      </c>
      <c r="H16" s="17" t="s">
        <v>487</v>
      </c>
      <c r="I16" s="17" t="s">
        <v>488</v>
      </c>
      <c r="J16" s="17" t="s">
        <v>278</v>
      </c>
      <c r="K16" s="17" t="s">
        <v>277</v>
      </c>
      <c r="L16" s="17" t="s">
        <v>489</v>
      </c>
      <c r="M16" s="17" t="s">
        <v>490</v>
      </c>
      <c r="N16" s="17" t="s">
        <v>281</v>
      </c>
      <c r="O16" s="17" t="s">
        <v>491</v>
      </c>
      <c r="P16" s="17" t="s">
        <v>492</v>
      </c>
      <c r="Q16" s="17" t="s">
        <v>284</v>
      </c>
      <c r="R16" s="31" t="s">
        <v>493</v>
      </c>
      <c r="S16" s="17" t="s">
        <v>494</v>
      </c>
      <c r="T16" s="32" t="s">
        <v>287</v>
      </c>
      <c r="U16" s="33" t="s">
        <v>288</v>
      </c>
      <c r="V16" s="33" t="s">
        <v>289</v>
      </c>
      <c r="W16" s="34" t="s">
        <v>323</v>
      </c>
      <c r="X16" s="34" t="s">
        <v>411</v>
      </c>
      <c r="Y16" s="34" t="s">
        <v>308</v>
      </c>
    </row>
    <row r="17" spans="1:25" ht="43.5" x14ac:dyDescent="0.25">
      <c r="A17" s="30" t="s">
        <v>495</v>
      </c>
      <c r="B17" s="30" t="s">
        <v>269</v>
      </c>
      <c r="C17" s="30" t="s">
        <v>270</v>
      </c>
      <c r="D17" s="17" t="s">
        <v>496</v>
      </c>
      <c r="E17" s="17" t="s">
        <v>272</v>
      </c>
      <c r="F17" s="17" t="s">
        <v>497</v>
      </c>
      <c r="G17" s="17" t="s">
        <v>498</v>
      </c>
      <c r="H17" s="17" t="s">
        <v>499</v>
      </c>
      <c r="I17" s="17" t="s">
        <v>500</v>
      </c>
      <c r="J17" s="17" t="s">
        <v>333</v>
      </c>
      <c r="K17" s="17" t="s">
        <v>278</v>
      </c>
      <c r="L17" s="17" t="s">
        <v>378</v>
      </c>
      <c r="M17" s="17" t="s">
        <v>501</v>
      </c>
      <c r="N17" s="17" t="s">
        <v>281</v>
      </c>
      <c r="O17" s="17" t="s">
        <v>502</v>
      </c>
      <c r="P17" s="17" t="s">
        <v>503</v>
      </c>
      <c r="Q17" s="17" t="s">
        <v>284</v>
      </c>
      <c r="R17" s="31" t="s">
        <v>504</v>
      </c>
      <c r="S17" s="17" t="s">
        <v>505</v>
      </c>
      <c r="T17" s="32" t="s">
        <v>287</v>
      </c>
      <c r="U17" s="33" t="s">
        <v>288</v>
      </c>
      <c r="V17" s="33" t="s">
        <v>289</v>
      </c>
      <c r="W17" s="34" t="s">
        <v>340</v>
      </c>
      <c r="X17" s="34" t="s">
        <v>341</v>
      </c>
      <c r="Y17" s="34" t="s">
        <v>342</v>
      </c>
    </row>
    <row r="18" spans="1:25" ht="43.5" x14ac:dyDescent="0.25">
      <c r="A18" s="30" t="s">
        <v>506</v>
      </c>
      <c r="B18" s="30" t="s">
        <v>269</v>
      </c>
      <c r="C18" s="30" t="s">
        <v>507</v>
      </c>
      <c r="D18" s="17" t="s">
        <v>508</v>
      </c>
      <c r="E18" s="17" t="s">
        <v>509</v>
      </c>
      <c r="F18" s="17" t="s">
        <v>510</v>
      </c>
      <c r="G18" s="17" t="s">
        <v>511</v>
      </c>
      <c r="H18" s="17" t="s">
        <v>512</v>
      </c>
      <c r="I18" s="17" t="s">
        <v>513</v>
      </c>
      <c r="J18" s="17" t="s">
        <v>278</v>
      </c>
      <c r="K18" s="17" t="s">
        <v>299</v>
      </c>
      <c r="L18" s="17" t="s">
        <v>514</v>
      </c>
      <c r="M18" s="17" t="s">
        <v>515</v>
      </c>
      <c r="N18" s="17" t="s">
        <v>281</v>
      </c>
      <c r="O18" s="17" t="s">
        <v>516</v>
      </c>
      <c r="P18" s="17" t="s">
        <v>517</v>
      </c>
      <c r="Q18" s="17" t="s">
        <v>518</v>
      </c>
      <c r="R18" s="31" t="s">
        <v>519</v>
      </c>
      <c r="S18" s="17" t="s">
        <v>520</v>
      </c>
      <c r="T18" s="32" t="s">
        <v>287</v>
      </c>
      <c r="U18" s="33" t="s">
        <v>288</v>
      </c>
      <c r="V18" s="33" t="s">
        <v>289</v>
      </c>
      <c r="W18" s="34" t="s">
        <v>323</v>
      </c>
      <c r="X18" s="34" t="s">
        <v>411</v>
      </c>
      <c r="Y18" s="34" t="s">
        <v>308</v>
      </c>
    </row>
    <row r="19" spans="1:25" ht="43.5" x14ac:dyDescent="0.25">
      <c r="A19" s="30" t="s">
        <v>521</v>
      </c>
      <c r="B19" s="30" t="s">
        <v>269</v>
      </c>
      <c r="C19" s="30" t="s">
        <v>270</v>
      </c>
      <c r="D19" s="17" t="s">
        <v>522</v>
      </c>
      <c r="E19" s="17" t="s">
        <v>509</v>
      </c>
      <c r="F19" s="17" t="s">
        <v>523</v>
      </c>
      <c r="G19" s="17" t="s">
        <v>524</v>
      </c>
      <c r="H19" s="17" t="s">
        <v>525</v>
      </c>
      <c r="I19" s="17" t="s">
        <v>526</v>
      </c>
      <c r="J19" s="17" t="s">
        <v>377</v>
      </c>
      <c r="K19" s="17" t="s">
        <v>278</v>
      </c>
      <c r="L19" s="17" t="s">
        <v>378</v>
      </c>
      <c r="M19" s="17" t="s">
        <v>527</v>
      </c>
      <c r="N19" s="17" t="s">
        <v>281</v>
      </c>
      <c r="O19" s="17" t="s">
        <v>528</v>
      </c>
      <c r="P19" s="17" t="s">
        <v>529</v>
      </c>
      <c r="Q19" s="17" t="s">
        <v>284</v>
      </c>
      <c r="R19" s="31" t="s">
        <v>530</v>
      </c>
      <c r="S19" s="17" t="s">
        <v>531</v>
      </c>
      <c r="T19" s="32" t="s">
        <v>287</v>
      </c>
      <c r="U19" s="33" t="s">
        <v>288</v>
      </c>
      <c r="V19" s="33" t="s">
        <v>289</v>
      </c>
      <c r="W19" s="34" t="s">
        <v>290</v>
      </c>
      <c r="X19" s="34" t="s">
        <v>384</v>
      </c>
      <c r="Y19" s="34" t="s">
        <v>385</v>
      </c>
    </row>
    <row r="20" spans="1:25" ht="43.5" x14ac:dyDescent="0.25">
      <c r="A20" s="30" t="s">
        <v>532</v>
      </c>
      <c r="B20" s="30" t="s">
        <v>269</v>
      </c>
      <c r="C20" s="30" t="s">
        <v>270</v>
      </c>
      <c r="D20" s="17" t="s">
        <v>533</v>
      </c>
      <c r="E20" s="17" t="s">
        <v>272</v>
      </c>
      <c r="F20" s="17" t="s">
        <v>534</v>
      </c>
      <c r="G20" s="17" t="s">
        <v>535</v>
      </c>
      <c r="H20" s="17" t="s">
        <v>536</v>
      </c>
      <c r="I20" s="17" t="s">
        <v>537</v>
      </c>
      <c r="J20" s="17" t="s">
        <v>299</v>
      </c>
      <c r="K20" s="17" t="s">
        <v>278</v>
      </c>
      <c r="L20" s="17" t="s">
        <v>538</v>
      </c>
      <c r="M20" s="17" t="s">
        <v>539</v>
      </c>
      <c r="N20" s="17" t="s">
        <v>281</v>
      </c>
      <c r="O20" s="17" t="s">
        <v>540</v>
      </c>
      <c r="P20" s="17" t="s">
        <v>541</v>
      </c>
      <c r="Q20" s="17" t="s">
        <v>284</v>
      </c>
      <c r="R20" s="31" t="s">
        <v>542</v>
      </c>
      <c r="S20" s="17" t="s">
        <v>543</v>
      </c>
      <c r="T20" s="32" t="s">
        <v>287</v>
      </c>
      <c r="U20" s="33" t="s">
        <v>288</v>
      </c>
      <c r="V20" s="33" t="s">
        <v>289</v>
      </c>
      <c r="W20" s="34" t="s">
        <v>306</v>
      </c>
      <c r="X20" s="34" t="s">
        <v>307</v>
      </c>
      <c r="Y20" s="34" t="s">
        <v>308</v>
      </c>
    </row>
    <row r="21" spans="1:25" ht="43.5" x14ac:dyDescent="0.25">
      <c r="A21" s="30" t="s">
        <v>544</v>
      </c>
      <c r="B21" s="30" t="s">
        <v>269</v>
      </c>
      <c r="C21" s="30" t="s">
        <v>270</v>
      </c>
      <c r="D21" s="17" t="s">
        <v>545</v>
      </c>
      <c r="E21" s="17" t="s">
        <v>272</v>
      </c>
      <c r="F21" s="17" t="s">
        <v>546</v>
      </c>
      <c r="G21" s="17" t="s">
        <v>547</v>
      </c>
      <c r="H21" s="17" t="s">
        <v>548</v>
      </c>
      <c r="I21" s="17" t="s">
        <v>549</v>
      </c>
      <c r="J21" s="17" t="s">
        <v>299</v>
      </c>
      <c r="K21" s="17" t="s">
        <v>316</v>
      </c>
      <c r="L21" s="17" t="s">
        <v>550</v>
      </c>
      <c r="M21" s="17" t="s">
        <v>477</v>
      </c>
      <c r="N21" s="17" t="s">
        <v>551</v>
      </c>
      <c r="O21" s="17" t="s">
        <v>552</v>
      </c>
      <c r="P21" s="17" t="s">
        <v>553</v>
      </c>
      <c r="Q21" s="17" t="s">
        <v>284</v>
      </c>
      <c r="R21" s="31" t="s">
        <v>554</v>
      </c>
      <c r="S21" s="17" t="s">
        <v>555</v>
      </c>
      <c r="T21" s="32" t="s">
        <v>287</v>
      </c>
      <c r="U21" s="33" t="s">
        <v>288</v>
      </c>
      <c r="V21" s="33" t="s">
        <v>289</v>
      </c>
      <c r="W21" s="34" t="s">
        <v>306</v>
      </c>
      <c r="X21" s="34" t="s">
        <v>307</v>
      </c>
      <c r="Y21" s="34" t="s">
        <v>308</v>
      </c>
    </row>
    <row r="22" spans="1:25" ht="43.5" x14ac:dyDescent="0.25">
      <c r="A22" s="30" t="s">
        <v>556</v>
      </c>
      <c r="B22" s="30" t="s">
        <v>557</v>
      </c>
      <c r="C22" s="30" t="s">
        <v>558</v>
      </c>
      <c r="D22" s="17" t="s">
        <v>559</v>
      </c>
      <c r="E22" s="17" t="s">
        <v>560</v>
      </c>
      <c r="F22" s="17" t="s">
        <v>561</v>
      </c>
      <c r="G22" s="17" t="s">
        <v>562</v>
      </c>
      <c r="H22" s="17" t="s">
        <v>563</v>
      </c>
      <c r="I22" s="17" t="s">
        <v>564</v>
      </c>
      <c r="J22" s="17" t="s">
        <v>565</v>
      </c>
      <c r="K22" s="17" t="s">
        <v>350</v>
      </c>
      <c r="L22" s="17" t="s">
        <v>566</v>
      </c>
      <c r="M22" s="17" t="s">
        <v>567</v>
      </c>
      <c r="N22" s="17" t="s">
        <v>568</v>
      </c>
      <c r="O22" s="17" t="s">
        <v>569</v>
      </c>
      <c r="P22" s="17" t="s">
        <v>570</v>
      </c>
      <c r="Q22" s="17" t="s">
        <v>571</v>
      </c>
      <c r="R22" s="31" t="s">
        <v>572</v>
      </c>
      <c r="S22" s="17" t="s">
        <v>573</v>
      </c>
      <c r="T22" s="32" t="s">
        <v>287</v>
      </c>
      <c r="U22" s="33" t="s">
        <v>288</v>
      </c>
      <c r="V22" s="33" t="s">
        <v>289</v>
      </c>
      <c r="W22" s="34" t="s">
        <v>574</v>
      </c>
      <c r="X22" s="34" t="s">
        <v>575</v>
      </c>
      <c r="Y22" s="34" t="s">
        <v>385</v>
      </c>
    </row>
    <row r="23" spans="1:25" ht="43.5" x14ac:dyDescent="0.25">
      <c r="A23" s="30" t="s">
        <v>576</v>
      </c>
      <c r="B23" s="30" t="s">
        <v>557</v>
      </c>
      <c r="C23" s="30" t="s">
        <v>577</v>
      </c>
      <c r="D23" s="17" t="s">
        <v>578</v>
      </c>
      <c r="E23" s="17" t="s">
        <v>579</v>
      </c>
      <c r="F23" s="17" t="s">
        <v>580</v>
      </c>
      <c r="G23" s="17" t="s">
        <v>581</v>
      </c>
      <c r="H23" s="17" t="s">
        <v>582</v>
      </c>
      <c r="I23" s="17" t="s">
        <v>583</v>
      </c>
      <c r="J23" s="17" t="s">
        <v>420</v>
      </c>
      <c r="K23" s="17" t="s">
        <v>565</v>
      </c>
      <c r="L23" s="17" t="s">
        <v>566</v>
      </c>
      <c r="M23" s="17" t="s">
        <v>584</v>
      </c>
      <c r="N23" s="17" t="s">
        <v>118</v>
      </c>
      <c r="O23" s="17" t="s">
        <v>585</v>
      </c>
      <c r="P23" s="17" t="s">
        <v>586</v>
      </c>
      <c r="Q23" s="17" t="s">
        <v>587</v>
      </c>
      <c r="R23" s="31" t="s">
        <v>588</v>
      </c>
      <c r="S23" s="17" t="s">
        <v>589</v>
      </c>
      <c r="T23" s="32" t="s">
        <v>287</v>
      </c>
      <c r="U23" s="33" t="s">
        <v>288</v>
      </c>
      <c r="V23" s="33" t="s">
        <v>289</v>
      </c>
      <c r="W23" s="34" t="s">
        <v>590</v>
      </c>
      <c r="X23" s="34" t="s">
        <v>591</v>
      </c>
      <c r="Y23" s="34" t="s">
        <v>385</v>
      </c>
    </row>
    <row r="24" spans="1:25" ht="43.5" x14ac:dyDescent="0.25">
      <c r="A24" s="30" t="s">
        <v>592</v>
      </c>
      <c r="B24" s="30" t="s">
        <v>557</v>
      </c>
      <c r="C24" s="30" t="s">
        <v>593</v>
      </c>
      <c r="D24" s="17" t="s">
        <v>594</v>
      </c>
      <c r="E24" s="17" t="s">
        <v>595</v>
      </c>
      <c r="F24" s="17" t="s">
        <v>596</v>
      </c>
      <c r="G24" s="17" t="s">
        <v>597</v>
      </c>
      <c r="H24" s="17" t="s">
        <v>598</v>
      </c>
      <c r="I24" s="17" t="s">
        <v>599</v>
      </c>
      <c r="J24" s="17" t="s">
        <v>420</v>
      </c>
      <c r="K24" s="17" t="s">
        <v>565</v>
      </c>
      <c r="L24" s="17" t="s">
        <v>566</v>
      </c>
      <c r="M24" s="17" t="s">
        <v>600</v>
      </c>
      <c r="N24" s="17" t="s">
        <v>601</v>
      </c>
      <c r="O24" s="17" t="s">
        <v>602</v>
      </c>
      <c r="P24" s="17" t="s">
        <v>603</v>
      </c>
      <c r="Q24" s="17" t="s">
        <v>604</v>
      </c>
      <c r="R24" s="31" t="s">
        <v>605</v>
      </c>
      <c r="S24" s="17" t="s">
        <v>606</v>
      </c>
      <c r="T24" s="32" t="s">
        <v>287</v>
      </c>
      <c r="U24" s="33" t="s">
        <v>288</v>
      </c>
      <c r="V24" s="33" t="s">
        <v>289</v>
      </c>
      <c r="W24" s="34" t="s">
        <v>590</v>
      </c>
      <c r="X24" s="34" t="s">
        <v>591</v>
      </c>
      <c r="Y24" s="34" t="s">
        <v>385</v>
      </c>
    </row>
    <row r="25" spans="1:25" ht="43.5" x14ac:dyDescent="0.25">
      <c r="A25" s="30" t="s">
        <v>607</v>
      </c>
      <c r="B25" s="30" t="s">
        <v>557</v>
      </c>
      <c r="C25" s="30" t="s">
        <v>608</v>
      </c>
      <c r="D25" s="17" t="s">
        <v>609</v>
      </c>
      <c r="E25" s="17" t="s">
        <v>328</v>
      </c>
      <c r="F25" s="17" t="s">
        <v>610</v>
      </c>
      <c r="G25" s="17" t="s">
        <v>611</v>
      </c>
      <c r="H25" s="17" t="s">
        <v>612</v>
      </c>
      <c r="I25" s="17" t="s">
        <v>613</v>
      </c>
      <c r="J25" s="17" t="s">
        <v>420</v>
      </c>
      <c r="K25" s="17" t="s">
        <v>316</v>
      </c>
      <c r="L25" s="17" t="s">
        <v>614</v>
      </c>
      <c r="M25" s="17" t="s">
        <v>615</v>
      </c>
      <c r="N25" s="17" t="s">
        <v>118</v>
      </c>
      <c r="O25" s="17" t="s">
        <v>616</v>
      </c>
      <c r="P25" s="17" t="s">
        <v>617</v>
      </c>
      <c r="Q25" s="17" t="s">
        <v>618</v>
      </c>
      <c r="R25" s="31" t="s">
        <v>619</v>
      </c>
      <c r="S25" s="17" t="s">
        <v>620</v>
      </c>
      <c r="T25" s="32" t="s">
        <v>287</v>
      </c>
      <c r="U25" s="33" t="s">
        <v>288</v>
      </c>
      <c r="V25" s="33" t="s">
        <v>289</v>
      </c>
      <c r="W25" s="34" t="s">
        <v>590</v>
      </c>
      <c r="X25" s="34" t="s">
        <v>591</v>
      </c>
      <c r="Y25" s="34" t="s">
        <v>385</v>
      </c>
    </row>
    <row r="26" spans="1:25" ht="29" x14ac:dyDescent="0.25">
      <c r="A26" s="30" t="s">
        <v>621</v>
      </c>
      <c r="B26" s="30" t="s">
        <v>557</v>
      </c>
      <c r="C26" s="30" t="s">
        <v>577</v>
      </c>
      <c r="D26" s="17" t="s">
        <v>622</v>
      </c>
      <c r="E26" s="17" t="s">
        <v>623</v>
      </c>
      <c r="F26" s="17" t="s">
        <v>624</v>
      </c>
      <c r="G26" s="17" t="s">
        <v>625</v>
      </c>
      <c r="H26" s="17" t="s">
        <v>626</v>
      </c>
      <c r="I26" s="17" t="s">
        <v>627</v>
      </c>
      <c r="J26" s="17" t="s">
        <v>420</v>
      </c>
      <c r="K26" s="17" t="s">
        <v>277</v>
      </c>
      <c r="L26" s="17" t="s">
        <v>628</v>
      </c>
      <c r="M26" s="17" t="s">
        <v>629</v>
      </c>
      <c r="N26" s="17" t="s">
        <v>630</v>
      </c>
      <c r="O26" s="17" t="s">
        <v>631</v>
      </c>
      <c r="P26" s="17" t="s">
        <v>632</v>
      </c>
      <c r="Q26" s="17" t="s">
        <v>604</v>
      </c>
      <c r="R26" s="31" t="s">
        <v>633</v>
      </c>
      <c r="S26" s="17" t="s">
        <v>634</v>
      </c>
      <c r="T26" s="32" t="s">
        <v>287</v>
      </c>
      <c r="U26" s="33" t="s">
        <v>288</v>
      </c>
      <c r="V26" s="33" t="s">
        <v>289</v>
      </c>
      <c r="W26" s="34" t="s">
        <v>590</v>
      </c>
      <c r="X26" s="34" t="s">
        <v>591</v>
      </c>
      <c r="Y26" s="34" t="s">
        <v>385</v>
      </c>
    </row>
    <row r="27" spans="1:25" ht="43.5" x14ac:dyDescent="0.25">
      <c r="A27" s="30" t="s">
        <v>635</v>
      </c>
      <c r="B27" s="30" t="s">
        <v>557</v>
      </c>
      <c r="C27" s="30" t="s">
        <v>608</v>
      </c>
      <c r="D27" s="17" t="s">
        <v>636</v>
      </c>
      <c r="E27" s="17" t="s">
        <v>637</v>
      </c>
      <c r="F27" s="17" t="s">
        <v>638</v>
      </c>
      <c r="G27" s="17" t="s">
        <v>639</v>
      </c>
      <c r="H27" s="17" t="s">
        <v>640</v>
      </c>
      <c r="I27" s="17" t="s">
        <v>641</v>
      </c>
      <c r="J27" s="17" t="s">
        <v>420</v>
      </c>
      <c r="K27" s="17" t="s">
        <v>277</v>
      </c>
      <c r="L27" s="17" t="s">
        <v>628</v>
      </c>
      <c r="M27" s="17" t="s">
        <v>642</v>
      </c>
      <c r="N27" s="17" t="s">
        <v>643</v>
      </c>
      <c r="O27" s="17" t="s">
        <v>644</v>
      </c>
      <c r="P27" s="17" t="s">
        <v>645</v>
      </c>
      <c r="Q27" s="17" t="s">
        <v>646</v>
      </c>
      <c r="R27" s="31" t="s">
        <v>647</v>
      </c>
      <c r="S27" s="17" t="s">
        <v>648</v>
      </c>
      <c r="T27" s="32" t="s">
        <v>287</v>
      </c>
      <c r="U27" s="33" t="s">
        <v>288</v>
      </c>
      <c r="V27" s="33" t="s">
        <v>289</v>
      </c>
      <c r="W27" s="34" t="s">
        <v>590</v>
      </c>
      <c r="X27" s="34" t="s">
        <v>591</v>
      </c>
      <c r="Y27" s="34" t="s">
        <v>385</v>
      </c>
    </row>
    <row r="28" spans="1:25" ht="43.5" x14ac:dyDescent="0.25">
      <c r="A28" s="30" t="s">
        <v>649</v>
      </c>
      <c r="B28" s="30" t="s">
        <v>557</v>
      </c>
      <c r="C28" s="30" t="s">
        <v>608</v>
      </c>
      <c r="D28" s="17" t="s">
        <v>650</v>
      </c>
      <c r="E28" s="17" t="s">
        <v>623</v>
      </c>
      <c r="F28" s="17" t="s">
        <v>638</v>
      </c>
      <c r="G28" s="17" t="s">
        <v>651</v>
      </c>
      <c r="H28" s="17" t="s">
        <v>652</v>
      </c>
      <c r="I28" s="17" t="s">
        <v>653</v>
      </c>
      <c r="J28" s="17" t="s">
        <v>420</v>
      </c>
      <c r="K28" s="17" t="s">
        <v>277</v>
      </c>
      <c r="L28" s="17" t="s">
        <v>628</v>
      </c>
      <c r="M28" s="17" t="s">
        <v>654</v>
      </c>
      <c r="N28" s="17" t="s">
        <v>643</v>
      </c>
      <c r="O28" s="17" t="s">
        <v>655</v>
      </c>
      <c r="P28" s="17" t="s">
        <v>656</v>
      </c>
      <c r="Q28" s="17" t="s">
        <v>657</v>
      </c>
      <c r="R28" s="31" t="s">
        <v>658</v>
      </c>
      <c r="S28" s="17" t="s">
        <v>659</v>
      </c>
      <c r="T28" s="32" t="s">
        <v>287</v>
      </c>
      <c r="U28" s="33" t="s">
        <v>288</v>
      </c>
      <c r="V28" s="33" t="s">
        <v>289</v>
      </c>
      <c r="W28" s="34" t="s">
        <v>590</v>
      </c>
      <c r="X28" s="34" t="s">
        <v>591</v>
      </c>
      <c r="Y28" s="34" t="s">
        <v>385</v>
      </c>
    </row>
    <row r="29" spans="1:25" ht="43.5" x14ac:dyDescent="0.25">
      <c r="A29" s="30" t="s">
        <v>660</v>
      </c>
      <c r="B29" s="30" t="s">
        <v>557</v>
      </c>
      <c r="C29" s="30" t="s">
        <v>661</v>
      </c>
      <c r="D29" s="17" t="s">
        <v>662</v>
      </c>
      <c r="E29" s="17" t="s">
        <v>272</v>
      </c>
      <c r="F29" s="17" t="s">
        <v>663</v>
      </c>
      <c r="G29" s="17" t="s">
        <v>664</v>
      </c>
      <c r="H29" s="17" t="s">
        <v>665</v>
      </c>
      <c r="I29" s="17" t="s">
        <v>666</v>
      </c>
      <c r="J29" s="17" t="s">
        <v>278</v>
      </c>
      <c r="K29" s="17" t="s">
        <v>277</v>
      </c>
      <c r="L29" s="17" t="s">
        <v>279</v>
      </c>
      <c r="M29" s="17" t="s">
        <v>667</v>
      </c>
      <c r="N29" s="17" t="s">
        <v>668</v>
      </c>
      <c r="O29" s="17" t="s">
        <v>669</v>
      </c>
      <c r="P29" s="17" t="s">
        <v>670</v>
      </c>
      <c r="Q29" s="17" t="s">
        <v>671</v>
      </c>
      <c r="R29" s="31" t="s">
        <v>672</v>
      </c>
      <c r="S29" s="17" t="s">
        <v>673</v>
      </c>
      <c r="T29" s="32" t="s">
        <v>287</v>
      </c>
      <c r="U29" s="33" t="s">
        <v>288</v>
      </c>
      <c r="V29" s="33" t="s">
        <v>289</v>
      </c>
      <c r="W29" s="34" t="s">
        <v>323</v>
      </c>
      <c r="X29" s="34" t="s">
        <v>411</v>
      </c>
      <c r="Y29" s="34" t="s">
        <v>308</v>
      </c>
    </row>
    <row r="30" spans="1:25" ht="29" x14ac:dyDescent="0.25">
      <c r="A30" s="30" t="s">
        <v>674</v>
      </c>
      <c r="B30" s="30" t="s">
        <v>557</v>
      </c>
      <c r="C30" s="30" t="s">
        <v>675</v>
      </c>
      <c r="D30" s="17" t="s">
        <v>676</v>
      </c>
      <c r="E30" s="17" t="s">
        <v>677</v>
      </c>
      <c r="F30" s="17" t="s">
        <v>678</v>
      </c>
      <c r="G30" s="17" t="s">
        <v>679</v>
      </c>
      <c r="H30" s="17" t="s">
        <v>680</v>
      </c>
      <c r="I30" s="17" t="s">
        <v>681</v>
      </c>
      <c r="J30" s="17" t="s">
        <v>419</v>
      </c>
      <c r="K30" s="17" t="s">
        <v>299</v>
      </c>
      <c r="L30" s="17" t="s">
        <v>682</v>
      </c>
      <c r="M30" s="17" t="s">
        <v>683</v>
      </c>
      <c r="N30" s="17" t="s">
        <v>684</v>
      </c>
      <c r="O30" s="17" t="s">
        <v>685</v>
      </c>
      <c r="P30" s="17" t="s">
        <v>686</v>
      </c>
      <c r="Q30" s="17" t="s">
        <v>587</v>
      </c>
      <c r="R30" s="31" t="s">
        <v>687</v>
      </c>
      <c r="S30" s="17" t="s">
        <v>688</v>
      </c>
      <c r="T30" s="32" t="s">
        <v>287</v>
      </c>
      <c r="U30" s="33" t="s">
        <v>288</v>
      </c>
      <c r="V30" s="33" t="s">
        <v>289</v>
      </c>
      <c r="W30" s="34" t="s">
        <v>323</v>
      </c>
      <c r="X30" s="34" t="s">
        <v>428</v>
      </c>
      <c r="Y30" s="34" t="s">
        <v>429</v>
      </c>
    </row>
    <row r="31" spans="1:25" ht="29" x14ac:dyDescent="0.25">
      <c r="A31" s="30" t="s">
        <v>689</v>
      </c>
      <c r="B31" s="30" t="s">
        <v>557</v>
      </c>
      <c r="C31" s="30" t="s">
        <v>608</v>
      </c>
      <c r="D31" s="17" t="s">
        <v>690</v>
      </c>
      <c r="E31" s="17" t="s">
        <v>691</v>
      </c>
      <c r="F31" s="17" t="s">
        <v>678</v>
      </c>
      <c r="G31" s="17" t="s">
        <v>692</v>
      </c>
      <c r="H31" s="17" t="s">
        <v>693</v>
      </c>
      <c r="I31" s="17" t="s">
        <v>694</v>
      </c>
      <c r="J31" s="17" t="s">
        <v>419</v>
      </c>
      <c r="K31" s="17" t="s">
        <v>299</v>
      </c>
      <c r="L31" s="17" t="s">
        <v>682</v>
      </c>
      <c r="M31" s="17" t="s">
        <v>695</v>
      </c>
      <c r="N31" s="17" t="s">
        <v>696</v>
      </c>
      <c r="O31" s="17" t="s">
        <v>697</v>
      </c>
      <c r="P31" s="17" t="s">
        <v>698</v>
      </c>
      <c r="Q31" s="17" t="s">
        <v>699</v>
      </c>
      <c r="R31" s="31" t="s">
        <v>700</v>
      </c>
      <c r="S31" s="17" t="s">
        <v>701</v>
      </c>
      <c r="T31" s="32" t="s">
        <v>287</v>
      </c>
      <c r="U31" s="33" t="s">
        <v>288</v>
      </c>
      <c r="V31" s="33" t="s">
        <v>289</v>
      </c>
      <c r="W31" s="34" t="s">
        <v>323</v>
      </c>
      <c r="X31" s="34" t="s">
        <v>428</v>
      </c>
      <c r="Y31" s="34" t="s">
        <v>429</v>
      </c>
    </row>
    <row r="32" spans="1:25" ht="29" x14ac:dyDescent="0.25">
      <c r="A32" s="30" t="s">
        <v>702</v>
      </c>
      <c r="B32" s="30" t="s">
        <v>557</v>
      </c>
      <c r="C32" s="30" t="s">
        <v>703</v>
      </c>
      <c r="D32" s="17" t="s">
        <v>704</v>
      </c>
      <c r="E32" s="17" t="s">
        <v>705</v>
      </c>
      <c r="F32" s="17" t="s">
        <v>706</v>
      </c>
      <c r="G32" s="17" t="s">
        <v>707</v>
      </c>
      <c r="H32" s="17" t="s">
        <v>708</v>
      </c>
      <c r="I32" s="17" t="s">
        <v>709</v>
      </c>
      <c r="J32" s="17" t="s">
        <v>419</v>
      </c>
      <c r="K32" s="17" t="s">
        <v>299</v>
      </c>
      <c r="L32" s="17" t="s">
        <v>710</v>
      </c>
      <c r="M32" s="17" t="s">
        <v>711</v>
      </c>
      <c r="N32" s="17" t="s">
        <v>712</v>
      </c>
      <c r="O32" s="17" t="s">
        <v>713</v>
      </c>
      <c r="P32" s="17" t="s">
        <v>714</v>
      </c>
      <c r="Q32" s="17" t="s">
        <v>604</v>
      </c>
      <c r="R32" s="31" t="s">
        <v>715</v>
      </c>
      <c r="S32" s="17" t="s">
        <v>716</v>
      </c>
      <c r="T32" s="32" t="s">
        <v>287</v>
      </c>
      <c r="U32" s="33" t="s">
        <v>288</v>
      </c>
      <c r="V32" s="33" t="s">
        <v>289</v>
      </c>
      <c r="W32" s="34" t="s">
        <v>323</v>
      </c>
      <c r="X32" s="34" t="s">
        <v>428</v>
      </c>
      <c r="Y32" s="34" t="s">
        <v>429</v>
      </c>
    </row>
    <row r="33" spans="1:25" ht="29" x14ac:dyDescent="0.25">
      <c r="A33" s="30" t="s">
        <v>717</v>
      </c>
      <c r="B33" s="30" t="s">
        <v>557</v>
      </c>
      <c r="C33" s="30" t="s">
        <v>718</v>
      </c>
      <c r="D33" s="17" t="s">
        <v>719</v>
      </c>
      <c r="E33" s="17" t="s">
        <v>720</v>
      </c>
      <c r="F33" s="17" t="s">
        <v>678</v>
      </c>
      <c r="G33" s="17" t="s">
        <v>721</v>
      </c>
      <c r="H33" s="17" t="s">
        <v>722</v>
      </c>
      <c r="I33" s="17" t="s">
        <v>723</v>
      </c>
      <c r="J33" s="17" t="s">
        <v>419</v>
      </c>
      <c r="K33" s="17" t="s">
        <v>350</v>
      </c>
      <c r="L33" s="17" t="s">
        <v>710</v>
      </c>
      <c r="M33" s="17" t="s">
        <v>724</v>
      </c>
      <c r="N33" s="17" t="s">
        <v>725</v>
      </c>
      <c r="O33" s="17" t="s">
        <v>726</v>
      </c>
      <c r="P33" s="17" t="s">
        <v>727</v>
      </c>
      <c r="Q33" s="17" t="s">
        <v>646</v>
      </c>
      <c r="R33" s="31" t="s">
        <v>728</v>
      </c>
      <c r="S33" s="17" t="s">
        <v>729</v>
      </c>
      <c r="T33" s="32" t="s">
        <v>287</v>
      </c>
      <c r="U33" s="33" t="s">
        <v>288</v>
      </c>
      <c r="V33" s="33" t="s">
        <v>289</v>
      </c>
      <c r="W33" s="34" t="s">
        <v>323</v>
      </c>
      <c r="X33" s="34" t="s">
        <v>428</v>
      </c>
      <c r="Y33" s="34" t="s">
        <v>429</v>
      </c>
    </row>
    <row r="34" spans="1:25" ht="29" x14ac:dyDescent="0.25">
      <c r="A34" s="30" t="s">
        <v>730</v>
      </c>
      <c r="B34" s="30" t="s">
        <v>557</v>
      </c>
      <c r="C34" s="30" t="s">
        <v>731</v>
      </c>
      <c r="D34" s="17" t="s">
        <v>732</v>
      </c>
      <c r="E34" s="17" t="s">
        <v>691</v>
      </c>
      <c r="F34" s="17" t="s">
        <v>678</v>
      </c>
      <c r="G34" s="17" t="s">
        <v>733</v>
      </c>
      <c r="H34" s="17" t="s">
        <v>734</v>
      </c>
      <c r="I34" s="17" t="s">
        <v>735</v>
      </c>
      <c r="J34" s="17" t="s">
        <v>419</v>
      </c>
      <c r="K34" s="17" t="s">
        <v>299</v>
      </c>
      <c r="L34" s="17" t="s">
        <v>682</v>
      </c>
      <c r="M34" s="17" t="s">
        <v>736</v>
      </c>
      <c r="N34" s="17" t="s">
        <v>423</v>
      </c>
      <c r="O34" s="17" t="s">
        <v>737</v>
      </c>
      <c r="P34" s="17" t="s">
        <v>698</v>
      </c>
      <c r="Q34" s="17" t="s">
        <v>738</v>
      </c>
      <c r="R34" s="31" t="s">
        <v>739</v>
      </c>
      <c r="S34" s="17" t="s">
        <v>740</v>
      </c>
      <c r="T34" s="32" t="s">
        <v>287</v>
      </c>
      <c r="U34" s="33" t="s">
        <v>288</v>
      </c>
      <c r="V34" s="33" t="s">
        <v>289</v>
      </c>
      <c r="W34" s="34" t="s">
        <v>323</v>
      </c>
      <c r="X34" s="34" t="s">
        <v>428</v>
      </c>
      <c r="Y34" s="34" t="s">
        <v>429</v>
      </c>
    </row>
    <row r="35" spans="1:25" ht="29" x14ac:dyDescent="0.25">
      <c r="A35" s="30" t="s">
        <v>741</v>
      </c>
      <c r="B35" s="30" t="s">
        <v>557</v>
      </c>
      <c r="C35" s="30" t="s">
        <v>703</v>
      </c>
      <c r="D35" s="17" t="s">
        <v>742</v>
      </c>
      <c r="E35" s="17" t="s">
        <v>743</v>
      </c>
      <c r="F35" s="17" t="s">
        <v>744</v>
      </c>
      <c r="G35" s="17" t="s">
        <v>745</v>
      </c>
      <c r="H35" s="17" t="s">
        <v>746</v>
      </c>
      <c r="I35" s="17" t="s">
        <v>747</v>
      </c>
      <c r="J35" s="17" t="s">
        <v>278</v>
      </c>
      <c r="K35" s="17" t="s">
        <v>350</v>
      </c>
      <c r="L35" s="17" t="s">
        <v>378</v>
      </c>
      <c r="M35" s="17" t="s">
        <v>748</v>
      </c>
      <c r="N35" s="17" t="s">
        <v>281</v>
      </c>
      <c r="O35" s="17" t="s">
        <v>749</v>
      </c>
      <c r="P35" s="17" t="s">
        <v>750</v>
      </c>
      <c r="Q35" s="17" t="s">
        <v>751</v>
      </c>
      <c r="R35" s="31" t="s">
        <v>752</v>
      </c>
      <c r="S35" s="17" t="s">
        <v>753</v>
      </c>
      <c r="T35" s="32" t="s">
        <v>287</v>
      </c>
      <c r="U35" s="33" t="s">
        <v>288</v>
      </c>
      <c r="V35" s="33" t="s">
        <v>289</v>
      </c>
      <c r="W35" s="34" t="s">
        <v>323</v>
      </c>
      <c r="X35" s="34" t="s">
        <v>411</v>
      </c>
      <c r="Y35" s="34" t="s">
        <v>308</v>
      </c>
    </row>
    <row r="36" spans="1:25" ht="43.5" x14ac:dyDescent="0.25">
      <c r="A36" s="30" t="s">
        <v>754</v>
      </c>
      <c r="B36" s="30" t="s">
        <v>755</v>
      </c>
      <c r="C36" s="30" t="s">
        <v>608</v>
      </c>
      <c r="D36" s="17" t="s">
        <v>756</v>
      </c>
      <c r="E36" s="17" t="s">
        <v>757</v>
      </c>
      <c r="F36" s="17" t="s">
        <v>758</v>
      </c>
      <c r="G36" s="17" t="s">
        <v>759</v>
      </c>
      <c r="H36" s="17" t="s">
        <v>760</v>
      </c>
      <c r="I36" s="17" t="s">
        <v>761</v>
      </c>
      <c r="J36" s="17" t="s">
        <v>278</v>
      </c>
      <c r="K36" s="17" t="s">
        <v>377</v>
      </c>
      <c r="L36" s="17" t="s">
        <v>378</v>
      </c>
      <c r="M36" s="17" t="s">
        <v>762</v>
      </c>
      <c r="N36" s="17" t="s">
        <v>281</v>
      </c>
      <c r="O36" s="17" t="s">
        <v>763</v>
      </c>
      <c r="P36" s="17" t="s">
        <v>764</v>
      </c>
      <c r="Q36" s="17" t="s">
        <v>765</v>
      </c>
      <c r="R36" s="31" t="s">
        <v>766</v>
      </c>
      <c r="S36" s="17" t="s">
        <v>767</v>
      </c>
      <c r="T36" s="32" t="s">
        <v>768</v>
      </c>
      <c r="U36" s="32" t="s">
        <v>769</v>
      </c>
      <c r="V36" s="32" t="s">
        <v>770</v>
      </c>
      <c r="W36" s="34" t="s">
        <v>323</v>
      </c>
      <c r="X36" s="34" t="s">
        <v>411</v>
      </c>
      <c r="Y36" s="34" t="s">
        <v>308</v>
      </c>
    </row>
    <row r="37" spans="1:25" ht="43.5" x14ac:dyDescent="0.25">
      <c r="A37" s="30" t="s">
        <v>771</v>
      </c>
      <c r="B37" s="30" t="s">
        <v>557</v>
      </c>
      <c r="C37" s="30" t="s">
        <v>772</v>
      </c>
      <c r="D37" s="17" t="s">
        <v>773</v>
      </c>
      <c r="E37" s="17" t="s">
        <v>774</v>
      </c>
      <c r="F37" s="17" t="s">
        <v>775</v>
      </c>
      <c r="G37" s="17" t="s">
        <v>776</v>
      </c>
      <c r="H37" s="17" t="s">
        <v>777</v>
      </c>
      <c r="I37" s="17" t="s">
        <v>778</v>
      </c>
      <c r="J37" s="17" t="s">
        <v>350</v>
      </c>
      <c r="K37" s="17" t="s">
        <v>277</v>
      </c>
      <c r="L37" s="17" t="s">
        <v>779</v>
      </c>
      <c r="M37" s="17" t="s">
        <v>780</v>
      </c>
      <c r="N37" s="17" t="s">
        <v>781</v>
      </c>
      <c r="O37" s="17" t="s">
        <v>782</v>
      </c>
      <c r="P37" s="17" t="s">
        <v>783</v>
      </c>
      <c r="Q37" s="17" t="s">
        <v>784</v>
      </c>
      <c r="R37" s="31" t="s">
        <v>785</v>
      </c>
      <c r="S37" s="17" t="s">
        <v>786</v>
      </c>
      <c r="T37" s="32" t="s">
        <v>287</v>
      </c>
      <c r="U37" s="33" t="s">
        <v>288</v>
      </c>
      <c r="V37" s="33" t="s">
        <v>289</v>
      </c>
      <c r="W37" s="34" t="s">
        <v>357</v>
      </c>
      <c r="X37" s="34" t="s">
        <v>358</v>
      </c>
      <c r="Y37" s="34" t="s">
        <v>342</v>
      </c>
    </row>
    <row r="38" spans="1:25" ht="43.5" x14ac:dyDescent="0.25">
      <c r="A38" s="30" t="s">
        <v>787</v>
      </c>
      <c r="B38" s="30" t="s">
        <v>557</v>
      </c>
      <c r="C38" s="30" t="s">
        <v>772</v>
      </c>
      <c r="D38" s="17" t="s">
        <v>788</v>
      </c>
      <c r="E38" s="17" t="s">
        <v>743</v>
      </c>
      <c r="F38" s="17" t="s">
        <v>789</v>
      </c>
      <c r="G38" s="17" t="s">
        <v>790</v>
      </c>
      <c r="H38" s="17" t="s">
        <v>791</v>
      </c>
      <c r="I38" s="17" t="s">
        <v>792</v>
      </c>
      <c r="J38" s="17" t="s">
        <v>278</v>
      </c>
      <c r="K38" s="17" t="s">
        <v>377</v>
      </c>
      <c r="L38" s="17" t="s">
        <v>378</v>
      </c>
      <c r="M38" s="17" t="s">
        <v>793</v>
      </c>
      <c r="N38" s="17" t="s">
        <v>281</v>
      </c>
      <c r="O38" s="17" t="s">
        <v>794</v>
      </c>
      <c r="P38" s="17" t="s">
        <v>795</v>
      </c>
      <c r="Q38" s="17" t="s">
        <v>796</v>
      </c>
      <c r="R38" s="31" t="s">
        <v>797</v>
      </c>
      <c r="S38" s="17" t="s">
        <v>798</v>
      </c>
      <c r="T38" s="32" t="s">
        <v>287</v>
      </c>
      <c r="U38" s="33" t="s">
        <v>288</v>
      </c>
      <c r="V38" s="33" t="s">
        <v>289</v>
      </c>
      <c r="W38" s="34" t="s">
        <v>323</v>
      </c>
      <c r="X38" s="34" t="s">
        <v>411</v>
      </c>
      <c r="Y38" s="34" t="s">
        <v>308</v>
      </c>
    </row>
    <row r="39" spans="1:25" ht="43.5" x14ac:dyDescent="0.25">
      <c r="A39" s="30" t="s">
        <v>799</v>
      </c>
      <c r="B39" s="30" t="s">
        <v>557</v>
      </c>
      <c r="C39" s="30" t="s">
        <v>800</v>
      </c>
      <c r="D39" s="17" t="s">
        <v>801</v>
      </c>
      <c r="E39" s="17" t="s">
        <v>774</v>
      </c>
      <c r="F39" s="17" t="s">
        <v>802</v>
      </c>
      <c r="G39" s="17" t="s">
        <v>803</v>
      </c>
      <c r="H39" s="17" t="s">
        <v>804</v>
      </c>
      <c r="I39" s="17" t="s">
        <v>805</v>
      </c>
      <c r="J39" s="17" t="s">
        <v>350</v>
      </c>
      <c r="K39" s="17" t="s">
        <v>278</v>
      </c>
      <c r="L39" s="17" t="s">
        <v>806</v>
      </c>
      <c r="M39" s="17" t="s">
        <v>451</v>
      </c>
      <c r="N39" s="17" t="s">
        <v>281</v>
      </c>
      <c r="O39" s="17" t="s">
        <v>807</v>
      </c>
      <c r="P39" s="17" t="s">
        <v>808</v>
      </c>
      <c r="Q39" s="17" t="s">
        <v>809</v>
      </c>
      <c r="R39" s="31" t="s">
        <v>810</v>
      </c>
      <c r="S39" s="17" t="s">
        <v>811</v>
      </c>
      <c r="T39" s="32" t="s">
        <v>287</v>
      </c>
      <c r="U39" s="33" t="s">
        <v>288</v>
      </c>
      <c r="V39" s="33" t="s">
        <v>289</v>
      </c>
      <c r="W39" s="34" t="s">
        <v>357</v>
      </c>
      <c r="X39" s="34" t="s">
        <v>358</v>
      </c>
      <c r="Y39" s="34" t="s">
        <v>342</v>
      </c>
    </row>
    <row r="40" spans="1:25" ht="58" x14ac:dyDescent="0.25">
      <c r="A40" s="30" t="s">
        <v>812</v>
      </c>
      <c r="B40" s="30" t="s">
        <v>557</v>
      </c>
      <c r="C40" s="30" t="s">
        <v>813</v>
      </c>
      <c r="D40" s="17" t="s">
        <v>814</v>
      </c>
      <c r="E40" s="17" t="s">
        <v>509</v>
      </c>
      <c r="F40" s="17" t="s">
        <v>815</v>
      </c>
      <c r="G40" s="17" t="s">
        <v>816</v>
      </c>
      <c r="H40" s="17" t="s">
        <v>817</v>
      </c>
      <c r="I40" s="17" t="s">
        <v>818</v>
      </c>
      <c r="J40" s="17" t="s">
        <v>333</v>
      </c>
      <c r="K40" s="17" t="s">
        <v>278</v>
      </c>
      <c r="L40" s="17" t="s">
        <v>378</v>
      </c>
      <c r="M40" s="17" t="s">
        <v>819</v>
      </c>
      <c r="N40" s="17" t="s">
        <v>281</v>
      </c>
      <c r="O40" s="17" t="s">
        <v>820</v>
      </c>
      <c r="P40" s="17" t="s">
        <v>821</v>
      </c>
      <c r="Q40" s="17" t="s">
        <v>809</v>
      </c>
      <c r="R40" s="31" t="s">
        <v>822</v>
      </c>
      <c r="S40" s="17" t="s">
        <v>823</v>
      </c>
      <c r="T40" s="32" t="s">
        <v>287</v>
      </c>
      <c r="U40" s="33" t="s">
        <v>288</v>
      </c>
      <c r="V40" s="33" t="s">
        <v>289</v>
      </c>
      <c r="W40" s="34" t="s">
        <v>340</v>
      </c>
      <c r="X40" s="34" t="s">
        <v>341</v>
      </c>
      <c r="Y40" s="34" t="s">
        <v>342</v>
      </c>
    </row>
    <row r="41" spans="1:25" ht="43.5" x14ac:dyDescent="0.25">
      <c r="A41" s="30" t="s">
        <v>824</v>
      </c>
      <c r="B41" s="30" t="s">
        <v>557</v>
      </c>
      <c r="C41" s="30" t="s">
        <v>800</v>
      </c>
      <c r="D41" s="17" t="s">
        <v>825</v>
      </c>
      <c r="E41" s="17" t="s">
        <v>345</v>
      </c>
      <c r="F41" s="17" t="s">
        <v>826</v>
      </c>
      <c r="G41" s="17" t="s">
        <v>827</v>
      </c>
      <c r="H41" s="17" t="s">
        <v>828</v>
      </c>
      <c r="I41" s="17" t="s">
        <v>829</v>
      </c>
      <c r="J41" s="17" t="s">
        <v>299</v>
      </c>
      <c r="K41" s="17" t="s">
        <v>333</v>
      </c>
      <c r="L41" s="17" t="s">
        <v>550</v>
      </c>
      <c r="M41" s="17" t="s">
        <v>477</v>
      </c>
      <c r="N41" s="17" t="s">
        <v>551</v>
      </c>
      <c r="O41" s="17" t="s">
        <v>830</v>
      </c>
      <c r="P41" s="17" t="s">
        <v>831</v>
      </c>
      <c r="Q41" s="17" t="s">
        <v>832</v>
      </c>
      <c r="R41" s="31" t="s">
        <v>833</v>
      </c>
      <c r="S41" s="17" t="s">
        <v>834</v>
      </c>
      <c r="T41" s="32" t="s">
        <v>287</v>
      </c>
      <c r="U41" s="33" t="s">
        <v>288</v>
      </c>
      <c r="V41" s="33" t="s">
        <v>289</v>
      </c>
      <c r="W41" s="34" t="s">
        <v>306</v>
      </c>
      <c r="X41" s="34" t="s">
        <v>307</v>
      </c>
      <c r="Y41" s="34" t="s">
        <v>308</v>
      </c>
    </row>
    <row r="42" spans="1:25" ht="43.5" x14ac:dyDescent="0.25">
      <c r="A42" s="30" t="s">
        <v>835</v>
      </c>
      <c r="B42" s="30" t="s">
        <v>557</v>
      </c>
      <c r="C42" s="30" t="s">
        <v>836</v>
      </c>
      <c r="D42" s="17" t="s">
        <v>837</v>
      </c>
      <c r="E42" s="17" t="s">
        <v>838</v>
      </c>
      <c r="F42" s="17" t="s">
        <v>839</v>
      </c>
      <c r="G42" s="17" t="s">
        <v>840</v>
      </c>
      <c r="H42" s="17" t="s">
        <v>841</v>
      </c>
      <c r="I42" s="17" t="s">
        <v>842</v>
      </c>
      <c r="J42" s="17" t="s">
        <v>277</v>
      </c>
      <c r="K42" s="17" t="s">
        <v>377</v>
      </c>
      <c r="L42" s="17" t="s">
        <v>843</v>
      </c>
      <c r="M42" s="17" t="s">
        <v>844</v>
      </c>
      <c r="N42" s="17" t="s">
        <v>281</v>
      </c>
      <c r="O42" s="17" t="s">
        <v>845</v>
      </c>
      <c r="P42" s="17" t="s">
        <v>846</v>
      </c>
      <c r="Q42" s="17" t="s">
        <v>847</v>
      </c>
      <c r="R42" s="31" t="s">
        <v>848</v>
      </c>
      <c r="S42" s="17" t="s">
        <v>849</v>
      </c>
      <c r="T42" s="32" t="s">
        <v>287</v>
      </c>
      <c r="U42" s="33" t="s">
        <v>288</v>
      </c>
      <c r="V42" s="33" t="s">
        <v>289</v>
      </c>
      <c r="W42" s="34" t="s">
        <v>290</v>
      </c>
      <c r="X42" s="34" t="s">
        <v>291</v>
      </c>
      <c r="Y42" s="34" t="s">
        <v>292</v>
      </c>
    </row>
    <row r="43" spans="1:25" ht="43.5" x14ac:dyDescent="0.25">
      <c r="A43" s="30" t="s">
        <v>850</v>
      </c>
      <c r="B43" s="30" t="s">
        <v>557</v>
      </c>
      <c r="C43" s="30" t="s">
        <v>731</v>
      </c>
      <c r="D43" s="17" t="s">
        <v>851</v>
      </c>
      <c r="E43" s="17" t="s">
        <v>272</v>
      </c>
      <c r="F43" s="17" t="s">
        <v>852</v>
      </c>
      <c r="G43" s="17" t="s">
        <v>853</v>
      </c>
      <c r="H43" s="17" t="s">
        <v>854</v>
      </c>
      <c r="I43" s="17" t="s">
        <v>855</v>
      </c>
      <c r="J43" s="17" t="s">
        <v>277</v>
      </c>
      <c r="K43" s="17" t="s">
        <v>278</v>
      </c>
      <c r="L43" s="17" t="s">
        <v>279</v>
      </c>
      <c r="M43" s="17" t="s">
        <v>856</v>
      </c>
      <c r="N43" s="17" t="s">
        <v>281</v>
      </c>
      <c r="O43" s="17" t="s">
        <v>857</v>
      </c>
      <c r="P43" s="17" t="s">
        <v>858</v>
      </c>
      <c r="Q43" s="17" t="s">
        <v>859</v>
      </c>
      <c r="R43" s="31" t="s">
        <v>860</v>
      </c>
      <c r="S43" s="17" t="s">
        <v>861</v>
      </c>
      <c r="T43" s="32" t="s">
        <v>287</v>
      </c>
      <c r="U43" s="33" t="s">
        <v>288</v>
      </c>
      <c r="V43" s="33" t="s">
        <v>289</v>
      </c>
      <c r="W43" s="34" t="s">
        <v>290</v>
      </c>
      <c r="X43" s="34" t="s">
        <v>291</v>
      </c>
      <c r="Y43" s="34" t="s">
        <v>292</v>
      </c>
    </row>
    <row r="44" spans="1:25" ht="43.5" x14ac:dyDescent="0.25">
      <c r="A44" s="30" t="s">
        <v>862</v>
      </c>
      <c r="B44" s="30" t="s">
        <v>557</v>
      </c>
      <c r="C44" s="30" t="s">
        <v>731</v>
      </c>
      <c r="D44" s="17" t="s">
        <v>863</v>
      </c>
      <c r="E44" s="17" t="s">
        <v>864</v>
      </c>
      <c r="F44" s="17" t="s">
        <v>865</v>
      </c>
      <c r="G44" s="17" t="s">
        <v>866</v>
      </c>
      <c r="H44" s="17" t="s">
        <v>867</v>
      </c>
      <c r="I44" s="17" t="s">
        <v>868</v>
      </c>
      <c r="J44" s="17" t="s">
        <v>277</v>
      </c>
      <c r="K44" s="17" t="s">
        <v>278</v>
      </c>
      <c r="L44" s="17" t="s">
        <v>869</v>
      </c>
      <c r="M44" s="17" t="s">
        <v>870</v>
      </c>
      <c r="N44" s="17" t="s">
        <v>281</v>
      </c>
      <c r="O44" s="17" t="s">
        <v>871</v>
      </c>
      <c r="P44" s="17" t="s">
        <v>872</v>
      </c>
      <c r="Q44" s="17" t="s">
        <v>859</v>
      </c>
      <c r="R44" s="31" t="s">
        <v>873</v>
      </c>
      <c r="S44" s="17" t="s">
        <v>874</v>
      </c>
      <c r="T44" s="32" t="s">
        <v>287</v>
      </c>
      <c r="U44" s="33" t="s">
        <v>288</v>
      </c>
      <c r="V44" s="33" t="s">
        <v>289</v>
      </c>
      <c r="W44" s="34" t="s">
        <v>290</v>
      </c>
      <c r="X44" s="34" t="s">
        <v>291</v>
      </c>
      <c r="Y44" s="34" t="s">
        <v>292</v>
      </c>
    </row>
    <row r="45" spans="1:25" ht="58" x14ac:dyDescent="0.25">
      <c r="A45" s="30" t="s">
        <v>875</v>
      </c>
      <c r="B45" s="30" t="s">
        <v>557</v>
      </c>
      <c r="C45" s="30" t="s">
        <v>772</v>
      </c>
      <c r="D45" s="17" t="s">
        <v>876</v>
      </c>
      <c r="E45" s="17" t="s">
        <v>272</v>
      </c>
      <c r="F45" s="17" t="s">
        <v>877</v>
      </c>
      <c r="G45" s="17" t="s">
        <v>878</v>
      </c>
      <c r="H45" s="17" t="s">
        <v>879</v>
      </c>
      <c r="I45" s="17" t="s">
        <v>880</v>
      </c>
      <c r="J45" s="17" t="s">
        <v>277</v>
      </c>
      <c r="K45" s="17" t="s">
        <v>333</v>
      </c>
      <c r="L45" s="17" t="s">
        <v>881</v>
      </c>
      <c r="M45" s="17" t="s">
        <v>882</v>
      </c>
      <c r="N45" s="17" t="s">
        <v>883</v>
      </c>
      <c r="O45" s="17" t="s">
        <v>884</v>
      </c>
      <c r="P45" s="17" t="s">
        <v>885</v>
      </c>
      <c r="Q45" s="17" t="s">
        <v>886</v>
      </c>
      <c r="R45" s="31" t="s">
        <v>887</v>
      </c>
      <c r="S45" s="17" t="s">
        <v>888</v>
      </c>
      <c r="T45" s="32" t="s">
        <v>287</v>
      </c>
      <c r="U45" s="33" t="s">
        <v>288</v>
      </c>
      <c r="V45" s="33" t="s">
        <v>289</v>
      </c>
      <c r="W45" s="34" t="s">
        <v>290</v>
      </c>
      <c r="X45" s="34" t="s">
        <v>291</v>
      </c>
      <c r="Y45" s="34" t="s">
        <v>292</v>
      </c>
    </row>
    <row r="46" spans="1:25" ht="43.5" x14ac:dyDescent="0.25">
      <c r="A46" s="30" t="s">
        <v>889</v>
      </c>
      <c r="B46" s="30" t="s">
        <v>557</v>
      </c>
      <c r="C46" s="30" t="s">
        <v>718</v>
      </c>
      <c r="D46" s="17" t="s">
        <v>890</v>
      </c>
      <c r="E46" s="17" t="s">
        <v>838</v>
      </c>
      <c r="F46" s="17" t="s">
        <v>891</v>
      </c>
      <c r="G46" s="17" t="s">
        <v>892</v>
      </c>
      <c r="H46" s="17" t="s">
        <v>893</v>
      </c>
      <c r="I46" s="17" t="s">
        <v>894</v>
      </c>
      <c r="J46" s="17" t="s">
        <v>277</v>
      </c>
      <c r="K46" s="17" t="s">
        <v>278</v>
      </c>
      <c r="L46" s="17" t="s">
        <v>895</v>
      </c>
      <c r="M46" s="17" t="s">
        <v>896</v>
      </c>
      <c r="N46" s="17" t="s">
        <v>281</v>
      </c>
      <c r="O46" s="17" t="s">
        <v>897</v>
      </c>
      <c r="P46" s="17" t="s">
        <v>898</v>
      </c>
      <c r="Q46" s="17" t="s">
        <v>899</v>
      </c>
      <c r="R46" s="31" t="s">
        <v>900</v>
      </c>
      <c r="S46" s="17" t="s">
        <v>901</v>
      </c>
      <c r="T46" s="32" t="s">
        <v>287</v>
      </c>
      <c r="U46" s="33" t="s">
        <v>288</v>
      </c>
      <c r="V46" s="33" t="s">
        <v>289</v>
      </c>
      <c r="W46" s="34" t="s">
        <v>290</v>
      </c>
      <c r="X46" s="34" t="s">
        <v>291</v>
      </c>
      <c r="Y46" s="34" t="s">
        <v>292</v>
      </c>
    </row>
    <row r="47" spans="1:25" ht="43.5" x14ac:dyDescent="0.25">
      <c r="A47" s="30" t="s">
        <v>902</v>
      </c>
      <c r="B47" s="30" t="s">
        <v>557</v>
      </c>
      <c r="C47" s="30" t="s">
        <v>718</v>
      </c>
      <c r="D47" s="17" t="s">
        <v>903</v>
      </c>
      <c r="E47" s="17" t="s">
        <v>595</v>
      </c>
      <c r="F47" s="17" t="s">
        <v>904</v>
      </c>
      <c r="G47" s="17" t="s">
        <v>905</v>
      </c>
      <c r="H47" s="17" t="s">
        <v>906</v>
      </c>
      <c r="I47" s="17" t="s">
        <v>907</v>
      </c>
      <c r="J47" s="17" t="s">
        <v>278</v>
      </c>
      <c r="K47" s="17" t="s">
        <v>277</v>
      </c>
      <c r="L47" s="17" t="s">
        <v>378</v>
      </c>
      <c r="M47" s="17" t="s">
        <v>908</v>
      </c>
      <c r="N47" s="17" t="s">
        <v>281</v>
      </c>
      <c r="O47" s="17" t="s">
        <v>909</v>
      </c>
      <c r="P47" s="17" t="s">
        <v>910</v>
      </c>
      <c r="Q47" s="17" t="s">
        <v>911</v>
      </c>
      <c r="R47" s="31" t="s">
        <v>912</v>
      </c>
      <c r="S47" s="17" t="s">
        <v>913</v>
      </c>
      <c r="T47" s="32" t="s">
        <v>287</v>
      </c>
      <c r="U47" s="33" t="s">
        <v>288</v>
      </c>
      <c r="V47" s="33" t="s">
        <v>289</v>
      </c>
      <c r="W47" s="34" t="s">
        <v>323</v>
      </c>
      <c r="X47" s="34" t="s">
        <v>411</v>
      </c>
      <c r="Y47" s="34" t="s">
        <v>308</v>
      </c>
    </row>
    <row r="48" spans="1:25" ht="43.5" x14ac:dyDescent="0.25">
      <c r="A48" s="30" t="s">
        <v>914</v>
      </c>
      <c r="B48" s="30" t="s">
        <v>557</v>
      </c>
      <c r="C48" s="30" t="s">
        <v>593</v>
      </c>
      <c r="D48" s="17" t="s">
        <v>915</v>
      </c>
      <c r="E48" s="17" t="s">
        <v>916</v>
      </c>
      <c r="F48" s="17" t="s">
        <v>917</v>
      </c>
      <c r="G48" s="17" t="s">
        <v>918</v>
      </c>
      <c r="H48" s="17" t="s">
        <v>919</v>
      </c>
      <c r="I48" s="17" t="s">
        <v>920</v>
      </c>
      <c r="J48" s="17" t="s">
        <v>278</v>
      </c>
      <c r="K48" s="17" t="s">
        <v>299</v>
      </c>
      <c r="L48" s="17" t="s">
        <v>279</v>
      </c>
      <c r="M48" s="17" t="s">
        <v>921</v>
      </c>
      <c r="N48" s="17" t="s">
        <v>281</v>
      </c>
      <c r="O48" s="17" t="s">
        <v>922</v>
      </c>
      <c r="P48" s="17" t="s">
        <v>923</v>
      </c>
      <c r="Q48" s="17" t="s">
        <v>924</v>
      </c>
      <c r="R48" s="31" t="s">
        <v>925</v>
      </c>
      <c r="S48" s="17" t="s">
        <v>926</v>
      </c>
      <c r="T48" s="32" t="s">
        <v>287</v>
      </c>
      <c r="U48" s="33" t="s">
        <v>288</v>
      </c>
      <c r="V48" s="33" t="s">
        <v>289</v>
      </c>
      <c r="W48" s="34" t="s">
        <v>323</v>
      </c>
      <c r="X48" s="34" t="s">
        <v>411</v>
      </c>
      <c r="Y48" s="34" t="s">
        <v>308</v>
      </c>
    </row>
    <row r="49" spans="1:25" ht="43.5" x14ac:dyDescent="0.25">
      <c r="A49" s="30" t="s">
        <v>927</v>
      </c>
      <c r="B49" s="30" t="s">
        <v>557</v>
      </c>
      <c r="C49" s="30" t="s">
        <v>800</v>
      </c>
      <c r="D49" s="17" t="s">
        <v>928</v>
      </c>
      <c r="E49" s="17" t="s">
        <v>272</v>
      </c>
      <c r="F49" s="17" t="s">
        <v>929</v>
      </c>
      <c r="G49" s="17" t="s">
        <v>930</v>
      </c>
      <c r="H49" s="17" t="s">
        <v>931</v>
      </c>
      <c r="I49" s="17" t="s">
        <v>932</v>
      </c>
      <c r="J49" s="17" t="s">
        <v>277</v>
      </c>
      <c r="K49" s="17" t="s">
        <v>333</v>
      </c>
      <c r="L49" s="17" t="s">
        <v>933</v>
      </c>
      <c r="M49" s="17" t="s">
        <v>934</v>
      </c>
      <c r="N49" s="17" t="s">
        <v>281</v>
      </c>
      <c r="O49" s="17" t="s">
        <v>935</v>
      </c>
      <c r="P49" s="17" t="s">
        <v>936</v>
      </c>
      <c r="Q49" s="17" t="s">
        <v>937</v>
      </c>
      <c r="R49" s="31" t="s">
        <v>938</v>
      </c>
      <c r="S49" s="17" t="s">
        <v>939</v>
      </c>
      <c r="T49" s="32" t="s">
        <v>287</v>
      </c>
      <c r="U49" s="33" t="s">
        <v>288</v>
      </c>
      <c r="V49" s="33" t="s">
        <v>289</v>
      </c>
      <c r="W49" s="34" t="s">
        <v>290</v>
      </c>
      <c r="X49" s="34" t="s">
        <v>291</v>
      </c>
      <c r="Y49" s="34" t="s">
        <v>292</v>
      </c>
    </row>
    <row r="50" spans="1:25" ht="58" x14ac:dyDescent="0.25">
      <c r="A50" s="30" t="s">
        <v>940</v>
      </c>
      <c r="B50" s="30" t="s">
        <v>557</v>
      </c>
      <c r="C50" s="30" t="s">
        <v>941</v>
      </c>
      <c r="D50" s="17" t="s">
        <v>942</v>
      </c>
      <c r="E50" s="17" t="s">
        <v>272</v>
      </c>
      <c r="F50" s="17" t="s">
        <v>943</v>
      </c>
      <c r="G50" s="17" t="s">
        <v>944</v>
      </c>
      <c r="H50" s="17" t="s">
        <v>945</v>
      </c>
      <c r="I50" s="17" t="s">
        <v>946</v>
      </c>
      <c r="J50" s="17" t="s">
        <v>333</v>
      </c>
      <c r="K50" s="17" t="s">
        <v>278</v>
      </c>
      <c r="L50" s="17" t="s">
        <v>843</v>
      </c>
      <c r="M50" s="17" t="s">
        <v>947</v>
      </c>
      <c r="N50" s="17" t="s">
        <v>281</v>
      </c>
      <c r="O50" s="17" t="s">
        <v>948</v>
      </c>
      <c r="P50" s="17" t="s">
        <v>949</v>
      </c>
      <c r="Q50" s="17" t="s">
        <v>911</v>
      </c>
      <c r="R50" s="31" t="s">
        <v>950</v>
      </c>
      <c r="S50" s="17" t="s">
        <v>951</v>
      </c>
      <c r="T50" s="32" t="s">
        <v>287</v>
      </c>
      <c r="U50" s="33" t="s">
        <v>288</v>
      </c>
      <c r="V50" s="33" t="s">
        <v>289</v>
      </c>
      <c r="W50" s="34" t="s">
        <v>340</v>
      </c>
      <c r="X50" s="34" t="s">
        <v>341</v>
      </c>
      <c r="Y50" s="34" t="s">
        <v>342</v>
      </c>
    </row>
    <row r="51" spans="1:25" ht="43.5" x14ac:dyDescent="0.25">
      <c r="A51" s="30" t="s">
        <v>952</v>
      </c>
      <c r="B51" s="30" t="s">
        <v>557</v>
      </c>
      <c r="C51" s="30" t="s">
        <v>731</v>
      </c>
      <c r="D51" s="17" t="s">
        <v>953</v>
      </c>
      <c r="E51" s="17" t="s">
        <v>954</v>
      </c>
      <c r="F51" s="17" t="s">
        <v>815</v>
      </c>
      <c r="G51" s="17" t="s">
        <v>955</v>
      </c>
      <c r="H51" s="17" t="s">
        <v>956</v>
      </c>
      <c r="I51" s="17" t="s">
        <v>957</v>
      </c>
      <c r="J51" s="17" t="s">
        <v>333</v>
      </c>
      <c r="K51" s="17" t="s">
        <v>316</v>
      </c>
      <c r="L51" s="17" t="s">
        <v>843</v>
      </c>
      <c r="M51" s="17" t="s">
        <v>654</v>
      </c>
      <c r="N51" s="17" t="s">
        <v>281</v>
      </c>
      <c r="O51" s="17" t="s">
        <v>958</v>
      </c>
      <c r="P51" s="17" t="s">
        <v>959</v>
      </c>
      <c r="Q51" s="17" t="s">
        <v>960</v>
      </c>
      <c r="R51" s="31" t="s">
        <v>961</v>
      </c>
      <c r="S51" s="17" t="s">
        <v>962</v>
      </c>
      <c r="T51" s="32" t="s">
        <v>287</v>
      </c>
      <c r="U51" s="33" t="s">
        <v>288</v>
      </c>
      <c r="V51" s="33" t="s">
        <v>289</v>
      </c>
      <c r="W51" s="34" t="s">
        <v>340</v>
      </c>
      <c r="X51" s="34" t="s">
        <v>341</v>
      </c>
      <c r="Y51" s="34" t="s">
        <v>342</v>
      </c>
    </row>
    <row r="52" spans="1:25" ht="43.5" x14ac:dyDescent="0.25">
      <c r="A52" s="30" t="s">
        <v>963</v>
      </c>
      <c r="B52" s="30" t="s">
        <v>557</v>
      </c>
      <c r="C52" s="30" t="s">
        <v>507</v>
      </c>
      <c r="D52" s="17" t="s">
        <v>964</v>
      </c>
      <c r="E52" s="17" t="s">
        <v>965</v>
      </c>
      <c r="F52" s="17" t="s">
        <v>966</v>
      </c>
      <c r="G52" s="17" t="s">
        <v>967</v>
      </c>
      <c r="H52" s="17" t="s">
        <v>968</v>
      </c>
      <c r="I52" s="17" t="s">
        <v>969</v>
      </c>
      <c r="J52" s="17" t="s">
        <v>333</v>
      </c>
      <c r="K52" s="17" t="s">
        <v>350</v>
      </c>
      <c r="L52" s="17" t="s">
        <v>970</v>
      </c>
      <c r="M52" s="17" t="s">
        <v>971</v>
      </c>
      <c r="N52" s="17" t="s">
        <v>281</v>
      </c>
      <c r="O52" s="17" t="s">
        <v>972</v>
      </c>
      <c r="P52" s="17" t="s">
        <v>973</v>
      </c>
      <c r="Q52" s="17" t="s">
        <v>974</v>
      </c>
      <c r="R52" s="31" t="s">
        <v>975</v>
      </c>
      <c r="S52" s="17" t="s">
        <v>976</v>
      </c>
      <c r="T52" s="32" t="s">
        <v>287</v>
      </c>
      <c r="U52" s="33" t="s">
        <v>288</v>
      </c>
      <c r="V52" s="33" t="s">
        <v>289</v>
      </c>
      <c r="W52" s="34" t="s">
        <v>340</v>
      </c>
      <c r="X52" s="34" t="s">
        <v>341</v>
      </c>
      <c r="Y52" s="34" t="s">
        <v>342</v>
      </c>
    </row>
    <row r="53" spans="1:25" ht="43.5" x14ac:dyDescent="0.25">
      <c r="A53" s="30" t="s">
        <v>977</v>
      </c>
      <c r="B53" s="30" t="s">
        <v>557</v>
      </c>
      <c r="C53" s="30" t="s">
        <v>731</v>
      </c>
      <c r="D53" s="17" t="s">
        <v>978</v>
      </c>
      <c r="E53" s="17" t="s">
        <v>965</v>
      </c>
      <c r="F53" s="17" t="s">
        <v>979</v>
      </c>
      <c r="G53" s="17" t="s">
        <v>980</v>
      </c>
      <c r="H53" s="17" t="s">
        <v>981</v>
      </c>
      <c r="I53" s="17" t="s">
        <v>982</v>
      </c>
      <c r="J53" s="17" t="s">
        <v>333</v>
      </c>
      <c r="K53" s="17" t="s">
        <v>278</v>
      </c>
      <c r="L53" s="17" t="s">
        <v>279</v>
      </c>
      <c r="M53" s="17" t="s">
        <v>983</v>
      </c>
      <c r="N53" s="17" t="s">
        <v>281</v>
      </c>
      <c r="O53" s="17" t="s">
        <v>984</v>
      </c>
      <c r="P53" s="17" t="s">
        <v>985</v>
      </c>
      <c r="Q53" s="17" t="s">
        <v>986</v>
      </c>
      <c r="R53" s="31" t="s">
        <v>987</v>
      </c>
      <c r="S53" s="17" t="s">
        <v>988</v>
      </c>
      <c r="T53" s="32" t="s">
        <v>287</v>
      </c>
      <c r="U53" s="33" t="s">
        <v>288</v>
      </c>
      <c r="V53" s="33" t="s">
        <v>289</v>
      </c>
      <c r="W53" s="34" t="s">
        <v>340</v>
      </c>
      <c r="X53" s="34" t="s">
        <v>341</v>
      </c>
      <c r="Y53" s="34" t="s">
        <v>342</v>
      </c>
    </row>
    <row r="54" spans="1:25" ht="58" x14ac:dyDescent="0.25">
      <c r="A54" s="30" t="s">
        <v>989</v>
      </c>
      <c r="B54" s="30" t="s">
        <v>557</v>
      </c>
      <c r="C54" s="30" t="s">
        <v>990</v>
      </c>
      <c r="D54" s="17" t="s">
        <v>991</v>
      </c>
      <c r="E54" s="17" t="s">
        <v>579</v>
      </c>
      <c r="F54" s="17" t="s">
        <v>992</v>
      </c>
      <c r="G54" s="17" t="s">
        <v>993</v>
      </c>
      <c r="H54" s="17" t="s">
        <v>994</v>
      </c>
      <c r="I54" s="17" t="s">
        <v>995</v>
      </c>
      <c r="J54" s="17" t="s">
        <v>277</v>
      </c>
      <c r="K54" s="17" t="s">
        <v>278</v>
      </c>
      <c r="L54" s="17" t="s">
        <v>378</v>
      </c>
      <c r="M54" s="17" t="s">
        <v>996</v>
      </c>
      <c r="N54" s="17" t="s">
        <v>281</v>
      </c>
      <c r="O54" s="17" t="s">
        <v>997</v>
      </c>
      <c r="P54" s="17" t="s">
        <v>998</v>
      </c>
      <c r="Q54" s="17" t="s">
        <v>999</v>
      </c>
      <c r="R54" s="31" t="s">
        <v>1000</v>
      </c>
      <c r="S54" s="17" t="s">
        <v>1001</v>
      </c>
      <c r="T54" s="32" t="s">
        <v>287</v>
      </c>
      <c r="U54" s="33" t="s">
        <v>288</v>
      </c>
      <c r="V54" s="33" t="s">
        <v>289</v>
      </c>
      <c r="W54" s="34" t="s">
        <v>290</v>
      </c>
      <c r="X54" s="34" t="s">
        <v>291</v>
      </c>
      <c r="Y54" s="34" t="s">
        <v>292</v>
      </c>
    </row>
    <row r="55" spans="1:25" ht="43.5" x14ac:dyDescent="0.25">
      <c r="A55" s="30" t="s">
        <v>1002</v>
      </c>
      <c r="B55" s="30" t="s">
        <v>755</v>
      </c>
      <c r="C55" s="30" t="s">
        <v>1003</v>
      </c>
      <c r="D55" s="17" t="s">
        <v>1004</v>
      </c>
      <c r="E55" s="17" t="s">
        <v>916</v>
      </c>
      <c r="F55" s="17" t="s">
        <v>1005</v>
      </c>
      <c r="G55" s="17" t="s">
        <v>1006</v>
      </c>
      <c r="H55" s="17" t="s">
        <v>1007</v>
      </c>
      <c r="I55" s="17" t="s">
        <v>1008</v>
      </c>
      <c r="J55" s="17" t="s">
        <v>299</v>
      </c>
      <c r="K55" s="17" t="s">
        <v>377</v>
      </c>
      <c r="L55" s="17" t="s">
        <v>1009</v>
      </c>
      <c r="M55" s="17" t="s">
        <v>1010</v>
      </c>
      <c r="N55" s="17" t="s">
        <v>281</v>
      </c>
      <c r="O55" s="17" t="s">
        <v>1011</v>
      </c>
      <c r="P55" s="17" t="s">
        <v>1012</v>
      </c>
      <c r="Q55" s="17" t="s">
        <v>1013</v>
      </c>
      <c r="R55" s="31" t="s">
        <v>1014</v>
      </c>
      <c r="S55" s="17" t="s">
        <v>1015</v>
      </c>
      <c r="T55" s="32" t="s">
        <v>768</v>
      </c>
      <c r="U55" s="32" t="s">
        <v>769</v>
      </c>
      <c r="V55" s="32" t="s">
        <v>770</v>
      </c>
      <c r="W55" s="34" t="s">
        <v>306</v>
      </c>
      <c r="X55" s="34" t="s">
        <v>307</v>
      </c>
      <c r="Y55" s="34" t="s">
        <v>308</v>
      </c>
    </row>
    <row r="56" spans="1:25" ht="43.5" x14ac:dyDescent="0.25">
      <c r="A56" s="30" t="s">
        <v>1016</v>
      </c>
      <c r="B56" s="30" t="s">
        <v>755</v>
      </c>
      <c r="C56" s="30" t="s">
        <v>577</v>
      </c>
      <c r="D56" s="17" t="s">
        <v>1017</v>
      </c>
      <c r="E56" s="17" t="s">
        <v>916</v>
      </c>
      <c r="F56" s="17" t="s">
        <v>1018</v>
      </c>
      <c r="G56" s="17" t="s">
        <v>1019</v>
      </c>
      <c r="H56" s="17" t="s">
        <v>1020</v>
      </c>
      <c r="I56" s="17" t="s">
        <v>1021</v>
      </c>
      <c r="J56" s="17" t="s">
        <v>350</v>
      </c>
      <c r="K56" s="17" t="s">
        <v>278</v>
      </c>
      <c r="L56" s="17" t="s">
        <v>1022</v>
      </c>
      <c r="M56" s="17" t="s">
        <v>1023</v>
      </c>
      <c r="N56" s="17" t="s">
        <v>1024</v>
      </c>
      <c r="O56" s="17" t="s">
        <v>1025</v>
      </c>
      <c r="P56" s="17" t="s">
        <v>1026</v>
      </c>
      <c r="Q56" s="17" t="s">
        <v>1027</v>
      </c>
      <c r="R56" s="31" t="s">
        <v>1028</v>
      </c>
      <c r="S56" s="17" t="s">
        <v>1029</v>
      </c>
      <c r="T56" s="32" t="s">
        <v>768</v>
      </c>
      <c r="U56" s="32" t="s">
        <v>769</v>
      </c>
      <c r="V56" s="32" t="s">
        <v>770</v>
      </c>
      <c r="W56" s="34" t="s">
        <v>357</v>
      </c>
      <c r="X56" s="34" t="s">
        <v>358</v>
      </c>
      <c r="Y56" s="34" t="s">
        <v>342</v>
      </c>
    </row>
    <row r="57" spans="1:25" ht="29" x14ac:dyDescent="0.25">
      <c r="A57" s="30" t="s">
        <v>1030</v>
      </c>
      <c r="B57" s="30" t="s">
        <v>755</v>
      </c>
      <c r="C57" s="30" t="s">
        <v>675</v>
      </c>
      <c r="D57" s="17" t="s">
        <v>1031</v>
      </c>
      <c r="E57" s="17" t="s">
        <v>916</v>
      </c>
      <c r="F57" s="17" t="s">
        <v>758</v>
      </c>
      <c r="G57" s="17" t="s">
        <v>1032</v>
      </c>
      <c r="H57" s="17" t="s">
        <v>1033</v>
      </c>
      <c r="I57" s="17" t="s">
        <v>1034</v>
      </c>
      <c r="J57" s="17" t="s">
        <v>377</v>
      </c>
      <c r="K57" s="17" t="s">
        <v>277</v>
      </c>
      <c r="L57" s="17" t="s">
        <v>1035</v>
      </c>
      <c r="M57" s="17" t="s">
        <v>1036</v>
      </c>
      <c r="N57" s="17" t="s">
        <v>1037</v>
      </c>
      <c r="O57" s="17" t="s">
        <v>1038</v>
      </c>
      <c r="P57" s="17" t="s">
        <v>1039</v>
      </c>
      <c r="Q57" s="17" t="s">
        <v>1013</v>
      </c>
      <c r="R57" s="31" t="s">
        <v>1040</v>
      </c>
      <c r="S57" s="17" t="s">
        <v>1041</v>
      </c>
      <c r="T57" s="32" t="s">
        <v>768</v>
      </c>
      <c r="U57" s="32" t="s">
        <v>769</v>
      </c>
      <c r="V57" s="32" t="s">
        <v>770</v>
      </c>
      <c r="W57" s="34" t="s">
        <v>290</v>
      </c>
      <c r="X57" s="34" t="s">
        <v>384</v>
      </c>
      <c r="Y57" s="34" t="s">
        <v>385</v>
      </c>
    </row>
    <row r="58" spans="1:25" ht="29" x14ac:dyDescent="0.25">
      <c r="A58" s="30" t="s">
        <v>1042</v>
      </c>
      <c r="B58" s="30" t="s">
        <v>755</v>
      </c>
      <c r="C58" s="30" t="s">
        <v>772</v>
      </c>
      <c r="D58" s="17" t="s">
        <v>1043</v>
      </c>
      <c r="E58" s="17" t="s">
        <v>916</v>
      </c>
      <c r="F58" s="17" t="s">
        <v>1044</v>
      </c>
      <c r="G58" s="17" t="s">
        <v>1045</v>
      </c>
      <c r="H58" s="17" t="s">
        <v>1046</v>
      </c>
      <c r="I58" s="17" t="s">
        <v>1047</v>
      </c>
      <c r="J58" s="17" t="s">
        <v>377</v>
      </c>
      <c r="K58" s="17" t="s">
        <v>278</v>
      </c>
      <c r="L58" s="17" t="s">
        <v>378</v>
      </c>
      <c r="M58" s="17" t="s">
        <v>1048</v>
      </c>
      <c r="N58" s="17" t="s">
        <v>281</v>
      </c>
      <c r="O58" s="17" t="s">
        <v>1049</v>
      </c>
      <c r="P58" s="17" t="s">
        <v>1050</v>
      </c>
      <c r="Q58" s="17" t="s">
        <v>1051</v>
      </c>
      <c r="R58" s="31" t="s">
        <v>1052</v>
      </c>
      <c r="S58" s="17" t="s">
        <v>1053</v>
      </c>
      <c r="T58" s="32" t="s">
        <v>768</v>
      </c>
      <c r="U58" s="32" t="s">
        <v>769</v>
      </c>
      <c r="V58" s="32" t="s">
        <v>770</v>
      </c>
      <c r="W58" s="34" t="s">
        <v>290</v>
      </c>
      <c r="X58" s="34" t="s">
        <v>384</v>
      </c>
      <c r="Y58" s="34" t="s">
        <v>385</v>
      </c>
    </row>
    <row r="59" spans="1:25" ht="43.5" x14ac:dyDescent="0.25">
      <c r="A59" s="30" t="s">
        <v>1054</v>
      </c>
      <c r="B59" s="30" t="s">
        <v>755</v>
      </c>
      <c r="C59" s="30" t="s">
        <v>1055</v>
      </c>
      <c r="D59" s="17" t="s">
        <v>1056</v>
      </c>
      <c r="E59" s="17" t="s">
        <v>916</v>
      </c>
      <c r="F59" s="17" t="s">
        <v>1057</v>
      </c>
      <c r="G59" s="17" t="s">
        <v>1058</v>
      </c>
      <c r="H59" s="17" t="s">
        <v>1059</v>
      </c>
      <c r="I59" s="17" t="s">
        <v>1060</v>
      </c>
      <c r="J59" s="17" t="s">
        <v>350</v>
      </c>
      <c r="K59" s="17" t="s">
        <v>278</v>
      </c>
      <c r="L59" s="17" t="s">
        <v>1035</v>
      </c>
      <c r="M59" s="17" t="s">
        <v>1061</v>
      </c>
      <c r="N59" s="17" t="s">
        <v>1062</v>
      </c>
      <c r="O59" s="17" t="s">
        <v>1063</v>
      </c>
      <c r="P59" s="17" t="s">
        <v>1064</v>
      </c>
      <c r="Q59" s="17" t="s">
        <v>1065</v>
      </c>
      <c r="R59" s="31" t="s">
        <v>1066</v>
      </c>
      <c r="S59" s="17" t="s">
        <v>1067</v>
      </c>
      <c r="T59" s="32" t="s">
        <v>768</v>
      </c>
      <c r="U59" s="32" t="s">
        <v>769</v>
      </c>
      <c r="V59" s="32" t="s">
        <v>770</v>
      </c>
      <c r="W59" s="34" t="s">
        <v>357</v>
      </c>
      <c r="X59" s="34" t="s">
        <v>358</v>
      </c>
      <c r="Y59" s="34" t="s">
        <v>342</v>
      </c>
    </row>
    <row r="60" spans="1:25" ht="43.5" x14ac:dyDescent="0.25">
      <c r="A60" s="30" t="s">
        <v>1068</v>
      </c>
      <c r="B60" s="30" t="s">
        <v>755</v>
      </c>
      <c r="C60" s="30" t="s">
        <v>731</v>
      </c>
      <c r="D60" s="17" t="s">
        <v>1069</v>
      </c>
      <c r="E60" s="17" t="s">
        <v>965</v>
      </c>
      <c r="F60" s="17" t="s">
        <v>1070</v>
      </c>
      <c r="G60" s="17" t="s">
        <v>1071</v>
      </c>
      <c r="H60" s="17" t="s">
        <v>1072</v>
      </c>
      <c r="I60" s="17" t="s">
        <v>1073</v>
      </c>
      <c r="J60" s="17" t="s">
        <v>316</v>
      </c>
      <c r="K60" s="17" t="s">
        <v>350</v>
      </c>
      <c r="L60" s="17" t="s">
        <v>1074</v>
      </c>
      <c r="M60" s="17" t="s">
        <v>1075</v>
      </c>
      <c r="N60" s="17" t="s">
        <v>1076</v>
      </c>
      <c r="O60" s="17" t="s">
        <v>1077</v>
      </c>
      <c r="P60" s="17" t="s">
        <v>1078</v>
      </c>
      <c r="Q60" s="17" t="s">
        <v>1079</v>
      </c>
      <c r="R60" s="31" t="s">
        <v>1080</v>
      </c>
      <c r="S60" s="17" t="s">
        <v>1081</v>
      </c>
      <c r="T60" s="32" t="s">
        <v>768</v>
      </c>
      <c r="U60" s="32" t="s">
        <v>769</v>
      </c>
      <c r="V60" s="32" t="s">
        <v>770</v>
      </c>
      <c r="W60" s="34" t="s">
        <v>323</v>
      </c>
      <c r="X60" s="34" t="s">
        <v>324</v>
      </c>
      <c r="Y60" s="34" t="s">
        <v>325</v>
      </c>
    </row>
    <row r="61" spans="1:25" ht="43.5" x14ac:dyDescent="0.25">
      <c r="A61" s="30" t="s">
        <v>1082</v>
      </c>
      <c r="B61" s="30" t="s">
        <v>755</v>
      </c>
      <c r="C61" s="30" t="s">
        <v>772</v>
      </c>
      <c r="D61" s="17" t="s">
        <v>1083</v>
      </c>
      <c r="E61" s="17" t="s">
        <v>916</v>
      </c>
      <c r="F61" s="17" t="s">
        <v>1084</v>
      </c>
      <c r="G61" s="17" t="s">
        <v>1085</v>
      </c>
      <c r="H61" s="17" t="s">
        <v>1086</v>
      </c>
      <c r="I61" s="17" t="s">
        <v>1087</v>
      </c>
      <c r="J61" s="17" t="s">
        <v>350</v>
      </c>
      <c r="K61" s="17" t="s">
        <v>377</v>
      </c>
      <c r="L61" s="17" t="s">
        <v>1088</v>
      </c>
      <c r="M61" s="17" t="s">
        <v>1089</v>
      </c>
      <c r="N61" s="17" t="s">
        <v>1090</v>
      </c>
      <c r="O61" s="17" t="s">
        <v>1091</v>
      </c>
      <c r="P61" s="17" t="s">
        <v>1092</v>
      </c>
      <c r="Q61" s="17" t="s">
        <v>1093</v>
      </c>
      <c r="R61" s="31" t="s">
        <v>1094</v>
      </c>
      <c r="S61" s="17" t="s">
        <v>1095</v>
      </c>
      <c r="T61" s="32" t="s">
        <v>768</v>
      </c>
      <c r="U61" s="32" t="s">
        <v>769</v>
      </c>
      <c r="V61" s="32" t="s">
        <v>770</v>
      </c>
      <c r="W61" s="34" t="s">
        <v>357</v>
      </c>
      <c r="X61" s="34" t="s">
        <v>358</v>
      </c>
      <c r="Y61" s="34" t="s">
        <v>342</v>
      </c>
    </row>
  </sheetData>
  <dataValidations count="1">
    <dataValidation type="list" allowBlank="1" sqref="T2:T61" xr:uid="{00000000-0002-0000-0100-000000000000}">
      <formula1>"Lab-scale (assumed),Lab — confirmed,Pilot / scaled demo,In production (verify industry),Commodity / off-the-shelf,N/A — biological mechanism,Unresolved — searched,not found"</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6"/>
  <sheetViews>
    <sheetView zoomScaleNormal="100" workbookViewId="0">
      <selection sqref="A1:H1"/>
    </sheetView>
  </sheetViews>
  <sheetFormatPr defaultColWidth="8.6328125" defaultRowHeight="14.5" x14ac:dyDescent="0.35"/>
  <cols>
    <col min="1" max="1" width="28" style="12" customWidth="1"/>
    <col min="2" max="2" width="22" style="12" customWidth="1"/>
    <col min="3" max="3" width="42" style="12" customWidth="1"/>
    <col min="4" max="4" width="44" style="12" customWidth="1"/>
    <col min="5" max="5" width="38" style="12" customWidth="1"/>
    <col min="6" max="6" width="24" style="12" customWidth="1"/>
    <col min="7" max="7" width="14" style="12" customWidth="1"/>
    <col min="8" max="8" width="46" style="12" customWidth="1"/>
  </cols>
  <sheetData>
    <row r="1" spans="1:8" ht="30" customHeight="1" x14ac:dyDescent="0.25">
      <c r="A1" s="6" t="s">
        <v>1096</v>
      </c>
      <c r="B1" s="6"/>
      <c r="C1" s="6"/>
      <c r="D1" s="6"/>
      <c r="E1" s="6"/>
      <c r="F1" s="6"/>
      <c r="G1" s="6"/>
      <c r="H1" s="6"/>
    </row>
    <row r="2" spans="1:8" ht="25.5" customHeight="1" x14ac:dyDescent="0.35">
      <c r="A2" s="5" t="s">
        <v>1097</v>
      </c>
      <c r="B2" s="5"/>
      <c r="C2" s="5"/>
      <c r="D2" s="5"/>
      <c r="E2" s="5"/>
      <c r="F2" s="5"/>
      <c r="G2" s="5"/>
      <c r="H2" s="5"/>
    </row>
    <row r="4" spans="1:8" ht="33.75" customHeight="1" x14ac:dyDescent="0.25">
      <c r="A4" s="14" t="s">
        <v>1098</v>
      </c>
      <c r="B4" s="14" t="s">
        <v>1099</v>
      </c>
      <c r="C4" s="14" t="s">
        <v>1100</v>
      </c>
      <c r="D4" s="14" t="s">
        <v>1101</v>
      </c>
      <c r="E4" s="14" t="s">
        <v>1102</v>
      </c>
      <c r="F4" s="14" t="s">
        <v>1103</v>
      </c>
      <c r="G4" s="14" t="s">
        <v>1104</v>
      </c>
      <c r="H4" s="14" t="s">
        <v>1105</v>
      </c>
    </row>
    <row r="5" spans="1:8" ht="48" customHeight="1" x14ac:dyDescent="0.25">
      <c r="A5" s="36" t="s">
        <v>1106</v>
      </c>
      <c r="B5" s="36" t="s">
        <v>1107</v>
      </c>
      <c r="C5" s="15" t="s">
        <v>1108</v>
      </c>
      <c r="D5" s="15" t="s">
        <v>1109</v>
      </c>
      <c r="E5" s="15" t="s">
        <v>1110</v>
      </c>
      <c r="F5" s="15" t="s">
        <v>1111</v>
      </c>
      <c r="G5" s="15" t="s">
        <v>1112</v>
      </c>
      <c r="H5" s="15" t="s">
        <v>1113</v>
      </c>
    </row>
    <row r="6" spans="1:8" ht="48" customHeight="1" x14ac:dyDescent="0.25">
      <c r="A6" s="36" t="s">
        <v>1114</v>
      </c>
      <c r="B6" s="36" t="s">
        <v>1107</v>
      </c>
      <c r="C6" s="15" t="s">
        <v>1115</v>
      </c>
      <c r="D6" s="15" t="s">
        <v>1116</v>
      </c>
      <c r="E6" s="15" t="s">
        <v>3</v>
      </c>
      <c r="F6" s="15" t="s">
        <v>1117</v>
      </c>
      <c r="G6" s="15" t="s">
        <v>1112</v>
      </c>
      <c r="H6" s="15" t="s">
        <v>1118</v>
      </c>
    </row>
    <row r="7" spans="1:8" ht="48" customHeight="1" x14ac:dyDescent="0.25">
      <c r="A7" s="36" t="s">
        <v>1119</v>
      </c>
      <c r="B7" s="36" t="s">
        <v>1120</v>
      </c>
      <c r="C7" s="15" t="s">
        <v>1121</v>
      </c>
      <c r="D7" s="15" t="s">
        <v>1122</v>
      </c>
      <c r="E7" s="15" t="s">
        <v>1123</v>
      </c>
      <c r="F7" s="15" t="s">
        <v>1124</v>
      </c>
      <c r="G7" s="15" t="s">
        <v>1125</v>
      </c>
      <c r="H7" s="15" t="s">
        <v>1126</v>
      </c>
    </row>
    <row r="8" spans="1:8" ht="48" customHeight="1" x14ac:dyDescent="0.25">
      <c r="A8" s="36" t="s">
        <v>1127</v>
      </c>
      <c r="B8" s="36" t="s">
        <v>1120</v>
      </c>
      <c r="C8" s="15" t="s">
        <v>1128</v>
      </c>
      <c r="D8" s="15" t="s">
        <v>1129</v>
      </c>
      <c r="E8" s="15" t="s">
        <v>1130</v>
      </c>
      <c r="F8" s="15" t="s">
        <v>1131</v>
      </c>
      <c r="G8" s="15" t="s">
        <v>1132</v>
      </c>
      <c r="H8" s="15" t="s">
        <v>1133</v>
      </c>
    </row>
    <row r="9" spans="1:8" ht="48" customHeight="1" x14ac:dyDescent="0.25">
      <c r="A9" s="36" t="s">
        <v>1134</v>
      </c>
      <c r="B9" s="36" t="s">
        <v>1135</v>
      </c>
      <c r="C9" s="15" t="s">
        <v>1136</v>
      </c>
      <c r="D9" s="15" t="s">
        <v>1137</v>
      </c>
      <c r="E9" s="15" t="s">
        <v>1138</v>
      </c>
      <c r="F9" s="15" t="s">
        <v>1139</v>
      </c>
      <c r="G9" s="15" t="s">
        <v>1112</v>
      </c>
      <c r="H9" s="15" t="s">
        <v>1140</v>
      </c>
    </row>
    <row r="10" spans="1:8" ht="48" customHeight="1" x14ac:dyDescent="0.25">
      <c r="A10" s="36" t="s">
        <v>1141</v>
      </c>
      <c r="B10" s="36" t="s">
        <v>1135</v>
      </c>
      <c r="C10" s="15" t="s">
        <v>1142</v>
      </c>
      <c r="D10" s="15" t="s">
        <v>1143</v>
      </c>
      <c r="E10" s="15" t="s">
        <v>1144</v>
      </c>
      <c r="F10" s="15" t="s">
        <v>1145</v>
      </c>
      <c r="G10" s="15" t="s">
        <v>1112</v>
      </c>
      <c r="H10" s="15" t="s">
        <v>1146</v>
      </c>
    </row>
    <row r="11" spans="1:8" ht="48" customHeight="1" x14ac:dyDescent="0.25">
      <c r="A11" s="36" t="s">
        <v>1147</v>
      </c>
      <c r="B11" s="36" t="s">
        <v>1135</v>
      </c>
      <c r="C11" s="15" t="s">
        <v>1148</v>
      </c>
      <c r="D11" s="15" t="s">
        <v>1149</v>
      </c>
      <c r="E11" s="15" t="s">
        <v>1150</v>
      </c>
      <c r="F11" s="15" t="s">
        <v>1151</v>
      </c>
      <c r="G11" s="15" t="s">
        <v>1152</v>
      </c>
      <c r="H11" s="15" t="s">
        <v>1153</v>
      </c>
    </row>
    <row r="12" spans="1:8" ht="48" customHeight="1" x14ac:dyDescent="0.25">
      <c r="A12" s="36" t="s">
        <v>1154</v>
      </c>
      <c r="B12" s="36" t="s">
        <v>1155</v>
      </c>
      <c r="C12" s="15" t="s">
        <v>1156</v>
      </c>
      <c r="D12" s="15" t="s">
        <v>1157</v>
      </c>
      <c r="E12" s="15" t="s">
        <v>87</v>
      </c>
      <c r="F12" s="15" t="s">
        <v>1158</v>
      </c>
      <c r="G12" s="15" t="s">
        <v>1112</v>
      </c>
      <c r="H12" s="15" t="s">
        <v>1159</v>
      </c>
    </row>
    <row r="13" spans="1:8" ht="48" customHeight="1" x14ac:dyDescent="0.25">
      <c r="A13" s="36" t="s">
        <v>1160</v>
      </c>
      <c r="B13" s="36" t="s">
        <v>1161</v>
      </c>
      <c r="C13" s="15" t="s">
        <v>1162</v>
      </c>
      <c r="D13" s="15" t="s">
        <v>1163</v>
      </c>
      <c r="E13" s="15" t="s">
        <v>1164</v>
      </c>
      <c r="F13" s="15" t="s">
        <v>1165</v>
      </c>
      <c r="G13" s="15" t="s">
        <v>1112</v>
      </c>
      <c r="H13" s="15" t="s">
        <v>1166</v>
      </c>
    </row>
    <row r="14" spans="1:8" ht="48" customHeight="1" x14ac:dyDescent="0.25">
      <c r="A14" s="36" t="s">
        <v>1167</v>
      </c>
      <c r="B14" s="36" t="s">
        <v>1168</v>
      </c>
      <c r="C14" s="15" t="s">
        <v>1169</v>
      </c>
      <c r="D14" s="15" t="s">
        <v>1170</v>
      </c>
      <c r="E14" s="15" t="s">
        <v>1171</v>
      </c>
      <c r="F14" s="15" t="s">
        <v>1172</v>
      </c>
      <c r="G14" s="15" t="s">
        <v>1112</v>
      </c>
      <c r="H14" s="15" t="s">
        <v>1173</v>
      </c>
    </row>
    <row r="15" spans="1:8" ht="48" customHeight="1" x14ac:dyDescent="0.25">
      <c r="A15" s="36" t="s">
        <v>251</v>
      </c>
      <c r="B15" s="36" t="s">
        <v>1174</v>
      </c>
      <c r="C15" s="15" t="s">
        <v>1175</v>
      </c>
      <c r="D15" s="15" t="s">
        <v>1176</v>
      </c>
      <c r="E15" s="15" t="s">
        <v>1177</v>
      </c>
      <c r="F15" s="15" t="s">
        <v>1178</v>
      </c>
      <c r="G15" s="15" t="s">
        <v>1112</v>
      </c>
      <c r="H15" s="15" t="s">
        <v>1179</v>
      </c>
    </row>
    <row r="16" spans="1:8" ht="48" customHeight="1" x14ac:dyDescent="0.25">
      <c r="A16" s="36" t="s">
        <v>1180</v>
      </c>
      <c r="B16" s="36" t="s">
        <v>1174</v>
      </c>
      <c r="C16" s="15" t="s">
        <v>1181</v>
      </c>
      <c r="D16" s="15" t="s">
        <v>1182</v>
      </c>
      <c r="E16" s="15" t="s">
        <v>1183</v>
      </c>
      <c r="F16" s="15" t="s">
        <v>1184</v>
      </c>
      <c r="G16" s="15" t="s">
        <v>1132</v>
      </c>
      <c r="H16" s="15" t="s">
        <v>1185</v>
      </c>
    </row>
    <row r="17" spans="1:8" ht="48" customHeight="1" x14ac:dyDescent="0.25">
      <c r="A17" s="36" t="s">
        <v>1186</v>
      </c>
      <c r="B17" s="36" t="s">
        <v>1187</v>
      </c>
      <c r="C17" s="15" t="s">
        <v>1188</v>
      </c>
      <c r="D17" s="15" t="s">
        <v>1189</v>
      </c>
      <c r="E17" s="15" t="s">
        <v>1190</v>
      </c>
      <c r="F17" s="15" t="s">
        <v>1191</v>
      </c>
      <c r="G17" s="15" t="s">
        <v>1112</v>
      </c>
      <c r="H17" s="15" t="s">
        <v>1192</v>
      </c>
    </row>
    <row r="18" spans="1:8" ht="48" customHeight="1" x14ac:dyDescent="0.25">
      <c r="A18" s="36" t="s">
        <v>256</v>
      </c>
      <c r="B18" s="36" t="s">
        <v>1193</v>
      </c>
      <c r="C18" s="15" t="s">
        <v>1194</v>
      </c>
      <c r="D18" s="15" t="s">
        <v>1195</v>
      </c>
      <c r="E18" s="15" t="s">
        <v>1196</v>
      </c>
      <c r="F18" s="15" t="s">
        <v>1145</v>
      </c>
      <c r="G18" s="15" t="s">
        <v>1112</v>
      </c>
      <c r="H18" s="15" t="s">
        <v>1197</v>
      </c>
    </row>
    <row r="19" spans="1:8" ht="48" customHeight="1" x14ac:dyDescent="0.25">
      <c r="A19" s="36" t="s">
        <v>1198</v>
      </c>
      <c r="B19" s="36" t="s">
        <v>1193</v>
      </c>
      <c r="C19" s="15" t="s">
        <v>1199</v>
      </c>
      <c r="D19" s="15" t="s">
        <v>1200</v>
      </c>
      <c r="E19" s="15" t="s">
        <v>1201</v>
      </c>
      <c r="F19" s="15" t="s">
        <v>1202</v>
      </c>
      <c r="G19" s="15" t="s">
        <v>1203</v>
      </c>
      <c r="H19" s="15" t="s">
        <v>1204</v>
      </c>
    </row>
    <row r="20" spans="1:8" ht="48" customHeight="1" x14ac:dyDescent="0.25">
      <c r="A20" s="36" t="s">
        <v>1205</v>
      </c>
      <c r="B20" s="36" t="s">
        <v>1193</v>
      </c>
      <c r="C20" s="15" t="s">
        <v>1206</v>
      </c>
      <c r="D20" s="15" t="s">
        <v>1207</v>
      </c>
      <c r="E20" s="15" t="s">
        <v>1208</v>
      </c>
      <c r="F20" s="15" t="s">
        <v>1209</v>
      </c>
      <c r="G20" s="15" t="s">
        <v>1152</v>
      </c>
      <c r="H20" s="15" t="s">
        <v>1210</v>
      </c>
    </row>
    <row r="21" spans="1:8" ht="48" customHeight="1" x14ac:dyDescent="0.25">
      <c r="A21" s="36" t="s">
        <v>1211</v>
      </c>
      <c r="B21" s="36" t="s">
        <v>1212</v>
      </c>
      <c r="C21" s="15" t="s">
        <v>1213</v>
      </c>
      <c r="D21" s="15" t="s">
        <v>1214</v>
      </c>
      <c r="E21" s="15" t="s">
        <v>1215</v>
      </c>
      <c r="F21" s="15" t="s">
        <v>1216</v>
      </c>
      <c r="G21" s="15" t="s">
        <v>1203</v>
      </c>
      <c r="H21" s="15" t="s">
        <v>1217</v>
      </c>
    </row>
    <row r="22" spans="1:8" ht="48" customHeight="1" x14ac:dyDescent="0.25">
      <c r="A22" s="36" t="s">
        <v>1218</v>
      </c>
      <c r="B22" s="36" t="s">
        <v>1219</v>
      </c>
      <c r="C22" s="15" t="s">
        <v>1220</v>
      </c>
      <c r="D22" s="15" t="s">
        <v>1221</v>
      </c>
      <c r="E22" s="15" t="s">
        <v>1222</v>
      </c>
      <c r="F22" s="15" t="s">
        <v>1223</v>
      </c>
      <c r="G22" s="15" t="s">
        <v>1112</v>
      </c>
      <c r="H22" s="15" t="s">
        <v>1224</v>
      </c>
    </row>
    <row r="23" spans="1:8" ht="48" customHeight="1" x14ac:dyDescent="0.25">
      <c r="A23" s="36" t="s">
        <v>1225</v>
      </c>
      <c r="B23" s="36" t="s">
        <v>1219</v>
      </c>
      <c r="C23" s="15" t="s">
        <v>1226</v>
      </c>
      <c r="D23" s="15" t="s">
        <v>1227</v>
      </c>
      <c r="E23" s="15" t="s">
        <v>1228</v>
      </c>
      <c r="F23" s="15" t="s">
        <v>1229</v>
      </c>
      <c r="G23" s="15" t="s">
        <v>1112</v>
      </c>
      <c r="H23" s="15" t="s">
        <v>1230</v>
      </c>
    </row>
    <row r="24" spans="1:8" ht="48" customHeight="1" x14ac:dyDescent="0.25">
      <c r="A24" s="36" t="s">
        <v>1231</v>
      </c>
      <c r="B24" s="36" t="s">
        <v>1219</v>
      </c>
      <c r="C24" s="15" t="s">
        <v>1232</v>
      </c>
      <c r="D24" s="15" t="s">
        <v>1233</v>
      </c>
      <c r="E24" s="15" t="s">
        <v>1234</v>
      </c>
      <c r="F24" s="15" t="s">
        <v>1235</v>
      </c>
      <c r="G24" s="15" t="s">
        <v>1112</v>
      </c>
      <c r="H24" s="15" t="s">
        <v>1236</v>
      </c>
    </row>
    <row r="25" spans="1:8" ht="48" customHeight="1" x14ac:dyDescent="0.25">
      <c r="A25" s="36" t="s">
        <v>1237</v>
      </c>
      <c r="B25" s="36" t="s">
        <v>1219</v>
      </c>
      <c r="C25" s="15" t="s">
        <v>1238</v>
      </c>
      <c r="D25" s="15" t="s">
        <v>1239</v>
      </c>
      <c r="E25" s="15" t="s">
        <v>1240</v>
      </c>
      <c r="F25" s="15" t="s">
        <v>1241</v>
      </c>
      <c r="G25" s="15" t="s">
        <v>1112</v>
      </c>
      <c r="H25" s="15" t="s">
        <v>1242</v>
      </c>
    </row>
    <row r="26" spans="1:8" ht="48" customHeight="1" x14ac:dyDescent="0.25">
      <c r="A26" s="36" t="s">
        <v>1243</v>
      </c>
      <c r="B26" s="36" t="s">
        <v>1244</v>
      </c>
      <c r="C26" s="15" t="s">
        <v>1245</v>
      </c>
      <c r="D26" s="15" t="s">
        <v>1246</v>
      </c>
      <c r="E26" s="15" t="s">
        <v>1247</v>
      </c>
      <c r="F26" s="15" t="s">
        <v>1248</v>
      </c>
      <c r="G26" s="15" t="s">
        <v>1112</v>
      </c>
      <c r="H26" s="15" t="s">
        <v>1249</v>
      </c>
    </row>
    <row r="27" spans="1:8" ht="48" customHeight="1" x14ac:dyDescent="0.25">
      <c r="A27" s="36" t="s">
        <v>1250</v>
      </c>
      <c r="B27" s="36" t="s">
        <v>1244</v>
      </c>
      <c r="C27" s="15" t="s">
        <v>1251</v>
      </c>
      <c r="D27" s="15" t="s">
        <v>1252</v>
      </c>
      <c r="E27" s="15" t="s">
        <v>1253</v>
      </c>
      <c r="F27" s="15" t="s">
        <v>1254</v>
      </c>
      <c r="G27" s="15" t="s">
        <v>1255</v>
      </c>
      <c r="H27" s="15" t="s">
        <v>1256</v>
      </c>
    </row>
    <row r="28" spans="1:8" ht="48" customHeight="1" x14ac:dyDescent="0.25">
      <c r="A28" s="36" t="s">
        <v>1257</v>
      </c>
      <c r="B28" s="36" t="s">
        <v>1258</v>
      </c>
      <c r="C28" s="15" t="s">
        <v>1259</v>
      </c>
      <c r="D28" s="15" t="s">
        <v>1260</v>
      </c>
      <c r="E28" s="15" t="s">
        <v>1261</v>
      </c>
      <c r="F28" s="15" t="s">
        <v>1262</v>
      </c>
      <c r="G28" s="15" t="s">
        <v>1112</v>
      </c>
      <c r="H28" s="15" t="s">
        <v>1263</v>
      </c>
    </row>
    <row r="29" spans="1:8" ht="48" customHeight="1" x14ac:dyDescent="0.25">
      <c r="A29" s="36" t="s">
        <v>1264</v>
      </c>
      <c r="B29" s="36" t="s">
        <v>1258</v>
      </c>
      <c r="C29" s="15" t="s">
        <v>1265</v>
      </c>
      <c r="D29" s="15" t="s">
        <v>1266</v>
      </c>
      <c r="E29" s="15" t="s">
        <v>1267</v>
      </c>
      <c r="F29" s="15" t="s">
        <v>1151</v>
      </c>
      <c r="G29" s="15" t="s">
        <v>1112</v>
      </c>
      <c r="H29" s="15" t="s">
        <v>1268</v>
      </c>
    </row>
    <row r="30" spans="1:8" ht="48" customHeight="1" x14ac:dyDescent="0.25">
      <c r="A30" s="36" t="s">
        <v>1269</v>
      </c>
      <c r="B30" s="36" t="s">
        <v>1258</v>
      </c>
      <c r="C30" s="15" t="s">
        <v>1270</v>
      </c>
      <c r="D30" s="15" t="s">
        <v>1271</v>
      </c>
      <c r="E30" s="15" t="s">
        <v>1272</v>
      </c>
      <c r="F30" s="15" t="s">
        <v>1273</v>
      </c>
      <c r="G30" s="15" t="s">
        <v>1112</v>
      </c>
      <c r="H30" s="15" t="s">
        <v>1274</v>
      </c>
    </row>
    <row r="31" spans="1:8" ht="48" customHeight="1" x14ac:dyDescent="0.25">
      <c r="A31" s="36" t="s">
        <v>48</v>
      </c>
      <c r="B31" s="36" t="s">
        <v>1275</v>
      </c>
      <c r="C31" s="15" t="s">
        <v>1276</v>
      </c>
      <c r="D31" s="15" t="s">
        <v>1277</v>
      </c>
      <c r="E31" s="15" t="s">
        <v>1278</v>
      </c>
      <c r="F31" s="15" t="s">
        <v>1275</v>
      </c>
      <c r="G31" s="15" t="s">
        <v>1112</v>
      </c>
      <c r="H31" s="15" t="s">
        <v>1279</v>
      </c>
    </row>
    <row r="32" spans="1:8" ht="48" customHeight="1" x14ac:dyDescent="0.25">
      <c r="A32" s="36" t="s">
        <v>1280</v>
      </c>
      <c r="B32" s="36" t="s">
        <v>1275</v>
      </c>
      <c r="C32" s="15" t="s">
        <v>1281</v>
      </c>
      <c r="D32" s="15" t="s">
        <v>1282</v>
      </c>
      <c r="E32" s="15" t="s">
        <v>1283</v>
      </c>
      <c r="F32" s="15" t="s">
        <v>1284</v>
      </c>
      <c r="G32" s="15" t="s">
        <v>1132</v>
      </c>
      <c r="H32" s="15" t="s">
        <v>1285</v>
      </c>
    </row>
    <row r="33" spans="1:8" ht="48" customHeight="1" x14ac:dyDescent="0.25">
      <c r="A33" s="36" t="s">
        <v>1286</v>
      </c>
      <c r="B33" s="36" t="s">
        <v>1287</v>
      </c>
      <c r="C33" s="15" t="s">
        <v>1288</v>
      </c>
      <c r="D33" s="15" t="s">
        <v>1289</v>
      </c>
      <c r="E33" s="15" t="s">
        <v>1290</v>
      </c>
      <c r="F33" s="15" t="s">
        <v>1291</v>
      </c>
      <c r="G33" s="15" t="s">
        <v>1112</v>
      </c>
      <c r="H33" s="15" t="s">
        <v>1292</v>
      </c>
    </row>
    <row r="34" spans="1:8" ht="48" customHeight="1" x14ac:dyDescent="0.25">
      <c r="A34" s="36" t="s">
        <v>1293</v>
      </c>
      <c r="B34" s="36" t="s">
        <v>1294</v>
      </c>
      <c r="C34" s="15" t="s">
        <v>1295</v>
      </c>
      <c r="D34" s="15" t="s">
        <v>1296</v>
      </c>
      <c r="E34" s="15" t="s">
        <v>1297</v>
      </c>
      <c r="F34" s="15" t="s">
        <v>1298</v>
      </c>
      <c r="G34" s="15" t="s">
        <v>1112</v>
      </c>
      <c r="H34" s="15" t="s">
        <v>1299</v>
      </c>
    </row>
    <row r="35" spans="1:8" ht="48" customHeight="1" x14ac:dyDescent="0.25">
      <c r="A35" s="36" t="s">
        <v>1300</v>
      </c>
      <c r="B35" s="36" t="s">
        <v>1294</v>
      </c>
      <c r="C35" s="15" t="s">
        <v>1301</v>
      </c>
      <c r="D35" s="15" t="s">
        <v>1302</v>
      </c>
      <c r="E35" s="15" t="s">
        <v>1303</v>
      </c>
      <c r="F35" s="15" t="s">
        <v>1304</v>
      </c>
      <c r="G35" s="15" t="s">
        <v>1112</v>
      </c>
      <c r="H35" s="15" t="s">
        <v>1305</v>
      </c>
    </row>
    <row r="36" spans="1:8" ht="48" customHeight="1" x14ac:dyDescent="0.25">
      <c r="A36" s="36" t="s">
        <v>1306</v>
      </c>
      <c r="B36" s="36" t="s">
        <v>1294</v>
      </c>
      <c r="C36" s="15" t="s">
        <v>1307</v>
      </c>
      <c r="D36" s="15" t="s">
        <v>1308</v>
      </c>
      <c r="E36" s="15" t="s">
        <v>1309</v>
      </c>
      <c r="F36" s="15" t="s">
        <v>1310</v>
      </c>
      <c r="G36" s="15" t="s">
        <v>1311</v>
      </c>
      <c r="H36" s="15" t="s">
        <v>1312</v>
      </c>
    </row>
    <row r="37" spans="1:8" ht="48" customHeight="1" x14ac:dyDescent="0.25">
      <c r="A37" s="36" t="s">
        <v>1313</v>
      </c>
      <c r="B37" s="36" t="s">
        <v>1294</v>
      </c>
      <c r="C37" s="15" t="s">
        <v>1314</v>
      </c>
      <c r="D37" s="15" t="s">
        <v>1315</v>
      </c>
      <c r="E37" s="15" t="s">
        <v>1316</v>
      </c>
      <c r="F37" s="15" t="s">
        <v>1317</v>
      </c>
      <c r="G37" s="15" t="s">
        <v>1318</v>
      </c>
      <c r="H37" s="15" t="s">
        <v>1319</v>
      </c>
    </row>
    <row r="38" spans="1:8" ht="48" customHeight="1" x14ac:dyDescent="0.25">
      <c r="A38" s="36" t="s">
        <v>1320</v>
      </c>
      <c r="B38" s="36" t="s">
        <v>1294</v>
      </c>
      <c r="C38" s="15" t="s">
        <v>1321</v>
      </c>
      <c r="D38" s="15" t="s">
        <v>1322</v>
      </c>
      <c r="E38" s="15" t="s">
        <v>1323</v>
      </c>
      <c r="F38" s="15" t="s">
        <v>1324</v>
      </c>
      <c r="G38" s="15" t="s">
        <v>1132</v>
      </c>
      <c r="H38" s="15" t="s">
        <v>1325</v>
      </c>
    </row>
    <row r="39" spans="1:8" ht="48" customHeight="1" x14ac:dyDescent="0.25">
      <c r="A39" s="36" t="s">
        <v>1326</v>
      </c>
      <c r="B39" s="36" t="s">
        <v>1327</v>
      </c>
      <c r="C39" s="15" t="s">
        <v>1328</v>
      </c>
      <c r="D39" s="15" t="s">
        <v>1329</v>
      </c>
      <c r="E39" s="15" t="s">
        <v>1330</v>
      </c>
      <c r="F39" s="15" t="s">
        <v>1331</v>
      </c>
      <c r="G39" s="15" t="s">
        <v>1132</v>
      </c>
      <c r="H39" s="15" t="s">
        <v>1332</v>
      </c>
    </row>
    <row r="40" spans="1:8" ht="48" customHeight="1" x14ac:dyDescent="0.25">
      <c r="A40" s="36" t="s">
        <v>1333</v>
      </c>
      <c r="B40" s="36" t="s">
        <v>1327</v>
      </c>
      <c r="C40" s="15" t="s">
        <v>1334</v>
      </c>
      <c r="D40" s="15" t="s">
        <v>1335</v>
      </c>
      <c r="E40" s="15" t="s">
        <v>1336</v>
      </c>
      <c r="F40" s="15" t="s">
        <v>1337</v>
      </c>
      <c r="G40" s="15" t="s">
        <v>1112</v>
      </c>
      <c r="H40" s="15" t="s">
        <v>1338</v>
      </c>
    </row>
    <row r="41" spans="1:8" ht="48" customHeight="1" x14ac:dyDescent="0.25">
      <c r="A41" s="36" t="s">
        <v>1339</v>
      </c>
      <c r="B41" s="36" t="s">
        <v>1327</v>
      </c>
      <c r="C41" s="15" t="s">
        <v>1340</v>
      </c>
      <c r="D41" s="15" t="s">
        <v>1341</v>
      </c>
      <c r="E41" s="15" t="s">
        <v>1342</v>
      </c>
      <c r="F41" s="15" t="s">
        <v>1209</v>
      </c>
      <c r="G41" s="15" t="s">
        <v>1343</v>
      </c>
      <c r="H41" s="15" t="s">
        <v>1344</v>
      </c>
    </row>
    <row r="42" spans="1:8" ht="48" customHeight="1" x14ac:dyDescent="0.25">
      <c r="A42" s="36" t="s">
        <v>1345</v>
      </c>
      <c r="B42" s="36" t="s">
        <v>1346</v>
      </c>
      <c r="C42" s="15" t="s">
        <v>1347</v>
      </c>
      <c r="D42" s="15" t="s">
        <v>1348</v>
      </c>
      <c r="E42" s="15" t="s">
        <v>1349</v>
      </c>
      <c r="F42" s="15" t="s">
        <v>1350</v>
      </c>
      <c r="G42" s="15" t="s">
        <v>1132</v>
      </c>
      <c r="H42" s="15" t="s">
        <v>1351</v>
      </c>
    </row>
    <row r="43" spans="1:8" ht="48" customHeight="1" x14ac:dyDescent="0.25">
      <c r="A43" s="36" t="s">
        <v>1352</v>
      </c>
      <c r="B43" s="36" t="s">
        <v>1353</v>
      </c>
      <c r="C43" s="15" t="s">
        <v>1354</v>
      </c>
      <c r="D43" s="15" t="s">
        <v>1355</v>
      </c>
      <c r="E43" s="15" t="s">
        <v>1356</v>
      </c>
      <c r="F43" s="15" t="s">
        <v>1357</v>
      </c>
      <c r="G43" s="15" t="s">
        <v>1132</v>
      </c>
      <c r="H43" s="15" t="s">
        <v>1358</v>
      </c>
    </row>
    <row r="44" spans="1:8" ht="48" customHeight="1" x14ac:dyDescent="0.25">
      <c r="A44" s="36" t="s">
        <v>1359</v>
      </c>
      <c r="B44" s="36" t="s">
        <v>1353</v>
      </c>
      <c r="C44" s="15" t="s">
        <v>1360</v>
      </c>
      <c r="D44" s="15" t="s">
        <v>1361</v>
      </c>
      <c r="E44" s="15" t="s">
        <v>1362</v>
      </c>
      <c r="F44" s="15" t="s">
        <v>1310</v>
      </c>
      <c r="G44" s="15" t="s">
        <v>1112</v>
      </c>
      <c r="H44" s="15" t="s">
        <v>1363</v>
      </c>
    </row>
    <row r="45" spans="1:8" ht="48" customHeight="1" x14ac:dyDescent="0.25">
      <c r="A45" s="36" t="s">
        <v>1364</v>
      </c>
      <c r="B45" s="36" t="s">
        <v>1353</v>
      </c>
      <c r="C45" s="15" t="s">
        <v>1365</v>
      </c>
      <c r="D45" s="15" t="s">
        <v>1366</v>
      </c>
      <c r="E45" s="15" t="s">
        <v>1367</v>
      </c>
      <c r="F45" s="15" t="s">
        <v>1310</v>
      </c>
      <c r="G45" s="15" t="s">
        <v>1112</v>
      </c>
      <c r="H45" s="15" t="s">
        <v>1368</v>
      </c>
    </row>
    <row r="46" spans="1:8" ht="48" customHeight="1" x14ac:dyDescent="0.25">
      <c r="A46" s="36" t="s">
        <v>1369</v>
      </c>
      <c r="B46" s="36" t="s">
        <v>1353</v>
      </c>
      <c r="C46" s="15" t="s">
        <v>1370</v>
      </c>
      <c r="D46" s="15" t="s">
        <v>1371</v>
      </c>
      <c r="E46" s="15" t="s">
        <v>1372</v>
      </c>
      <c r="F46" s="15" t="s">
        <v>1373</v>
      </c>
      <c r="G46" s="15" t="s">
        <v>1112</v>
      </c>
      <c r="H46" s="15" t="s">
        <v>1374</v>
      </c>
    </row>
    <row r="47" spans="1:8" ht="48" customHeight="1" x14ac:dyDescent="0.25">
      <c r="A47" s="36" t="s">
        <v>1375</v>
      </c>
      <c r="B47" s="36" t="s">
        <v>1353</v>
      </c>
      <c r="C47" s="15" t="s">
        <v>1376</v>
      </c>
      <c r="D47" s="15" t="s">
        <v>1377</v>
      </c>
      <c r="E47" s="15" t="s">
        <v>1378</v>
      </c>
      <c r="F47" s="15" t="s">
        <v>1379</v>
      </c>
      <c r="G47" s="15" t="s">
        <v>1380</v>
      </c>
      <c r="H47" s="15" t="s">
        <v>1381</v>
      </c>
    </row>
    <row r="48" spans="1:8" ht="48" customHeight="1" x14ac:dyDescent="0.25">
      <c r="A48" s="36" t="s">
        <v>1382</v>
      </c>
      <c r="B48" s="36" t="s">
        <v>1353</v>
      </c>
      <c r="C48" s="15" t="s">
        <v>1383</v>
      </c>
      <c r="D48" s="15" t="s">
        <v>1384</v>
      </c>
      <c r="E48" s="15" t="s">
        <v>1385</v>
      </c>
      <c r="F48" s="15" t="s">
        <v>1386</v>
      </c>
      <c r="G48" s="15" t="s">
        <v>1112</v>
      </c>
      <c r="H48" s="15" t="s">
        <v>1387</v>
      </c>
    </row>
    <row r="49" spans="1:8" ht="48" customHeight="1" x14ac:dyDescent="0.25">
      <c r="A49" s="36" t="s">
        <v>1388</v>
      </c>
      <c r="B49" s="36" t="s">
        <v>1389</v>
      </c>
      <c r="C49" s="15" t="s">
        <v>1390</v>
      </c>
      <c r="D49" s="15" t="s">
        <v>1391</v>
      </c>
      <c r="E49" s="15" t="s">
        <v>1392</v>
      </c>
      <c r="F49" s="15" t="s">
        <v>1393</v>
      </c>
      <c r="G49" s="15" t="s">
        <v>1112</v>
      </c>
      <c r="H49" s="15" t="s">
        <v>1394</v>
      </c>
    </row>
    <row r="50" spans="1:8" ht="48" customHeight="1" x14ac:dyDescent="0.25">
      <c r="A50" s="36" t="s">
        <v>1395</v>
      </c>
      <c r="B50" s="36" t="s">
        <v>1389</v>
      </c>
      <c r="C50" s="15" t="s">
        <v>1396</v>
      </c>
      <c r="D50" s="15" t="s">
        <v>1397</v>
      </c>
      <c r="E50" s="15" t="s">
        <v>1398</v>
      </c>
      <c r="F50" s="15" t="s">
        <v>1399</v>
      </c>
      <c r="G50" s="15" t="s">
        <v>1203</v>
      </c>
      <c r="H50" s="15" t="s">
        <v>1400</v>
      </c>
    </row>
    <row r="51" spans="1:8" ht="48" customHeight="1" x14ac:dyDescent="0.25">
      <c r="A51" s="36" t="s">
        <v>1401</v>
      </c>
      <c r="B51" s="36" t="s">
        <v>1402</v>
      </c>
      <c r="C51" s="15" t="s">
        <v>1403</v>
      </c>
      <c r="D51" s="15" t="s">
        <v>1404</v>
      </c>
      <c r="E51" s="15" t="s">
        <v>1405</v>
      </c>
      <c r="F51" s="15" t="s">
        <v>1406</v>
      </c>
      <c r="G51" s="15" t="s">
        <v>1407</v>
      </c>
      <c r="H51" s="15" t="s">
        <v>1408</v>
      </c>
    </row>
    <row r="54" spans="1:8" ht="15" customHeight="1" x14ac:dyDescent="0.25">
      <c r="A54" s="10" t="s">
        <v>1409</v>
      </c>
      <c r="B54" s="10"/>
      <c r="C54" s="10"/>
      <c r="D54" s="10"/>
      <c r="E54" s="10"/>
      <c r="F54" s="10"/>
      <c r="G54" s="10"/>
      <c r="H54" s="10"/>
    </row>
    <row r="55" spans="1:8" x14ac:dyDescent="0.35">
      <c r="A55" s="14" t="s">
        <v>1410</v>
      </c>
      <c r="B55" s="14" t="s">
        <v>1411</v>
      </c>
      <c r="C55" s="14" t="s">
        <v>1102</v>
      </c>
    </row>
    <row r="56" spans="1:8" ht="26" x14ac:dyDescent="0.35">
      <c r="A56" s="36" t="s">
        <v>1412</v>
      </c>
      <c r="B56" s="15" t="s">
        <v>1413</v>
      </c>
      <c r="C56" s="15" t="s">
        <v>1414</v>
      </c>
    </row>
    <row r="57" spans="1:8" ht="39" x14ac:dyDescent="0.35">
      <c r="A57" s="36" t="s">
        <v>1415</v>
      </c>
      <c r="B57" s="15" t="s">
        <v>1416</v>
      </c>
      <c r="C57" s="15" t="s">
        <v>1417</v>
      </c>
    </row>
    <row r="58" spans="1:8" ht="26" x14ac:dyDescent="0.35">
      <c r="A58" s="36" t="s">
        <v>1418</v>
      </c>
      <c r="B58" s="15" t="s">
        <v>1419</v>
      </c>
      <c r="C58" s="15" t="s">
        <v>1420</v>
      </c>
    </row>
    <row r="59" spans="1:8" ht="39" x14ac:dyDescent="0.35">
      <c r="A59" s="36" t="s">
        <v>1421</v>
      </c>
      <c r="B59" s="15" t="s">
        <v>1422</v>
      </c>
      <c r="C59" s="15" t="s">
        <v>1423</v>
      </c>
    </row>
    <row r="60" spans="1:8" x14ac:dyDescent="0.35">
      <c r="A60" s="36" t="s">
        <v>1424</v>
      </c>
      <c r="B60" s="15" t="s">
        <v>1425</v>
      </c>
      <c r="C60" s="15" t="s">
        <v>1426</v>
      </c>
    </row>
    <row r="61" spans="1:8" x14ac:dyDescent="0.35">
      <c r="A61" s="36" t="s">
        <v>1427</v>
      </c>
      <c r="B61" s="15" t="s">
        <v>1428</v>
      </c>
      <c r="C61" s="15" t="s">
        <v>1429</v>
      </c>
    </row>
    <row r="62" spans="1:8" ht="26" x14ac:dyDescent="0.35">
      <c r="A62" s="36" t="s">
        <v>1430</v>
      </c>
      <c r="B62" s="15" t="s">
        <v>1431</v>
      </c>
      <c r="C62" s="15" t="s">
        <v>1432</v>
      </c>
    </row>
    <row r="63" spans="1:8" ht="26" x14ac:dyDescent="0.35">
      <c r="A63" s="36" t="s">
        <v>1433</v>
      </c>
      <c r="B63" s="15" t="s">
        <v>1434</v>
      </c>
      <c r="C63" s="15" t="s">
        <v>1435</v>
      </c>
    </row>
    <row r="64" spans="1:8" ht="26" x14ac:dyDescent="0.35">
      <c r="A64" s="36" t="s">
        <v>1436</v>
      </c>
      <c r="B64" s="15" t="s">
        <v>1437</v>
      </c>
      <c r="C64" s="15" t="s">
        <v>1438</v>
      </c>
    </row>
    <row r="65" spans="1:3" ht="26" x14ac:dyDescent="0.35">
      <c r="A65" s="36" t="s">
        <v>1439</v>
      </c>
      <c r="B65" s="15" t="s">
        <v>1440</v>
      </c>
      <c r="C65" s="15" t="s">
        <v>1441</v>
      </c>
    </row>
    <row r="66" spans="1:3" x14ac:dyDescent="0.35">
      <c r="A66" s="36" t="s">
        <v>1442</v>
      </c>
      <c r="B66" s="15" t="s">
        <v>1443</v>
      </c>
      <c r="C66" s="15" t="s">
        <v>1444</v>
      </c>
    </row>
  </sheetData>
  <mergeCells count="3">
    <mergeCell ref="A1:H1"/>
    <mergeCell ref="A2:H2"/>
    <mergeCell ref="A54:H54"/>
  </mergeCell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
  <sheetViews>
    <sheetView topLeftCell="A12" zoomScaleNormal="100" workbookViewId="0"/>
  </sheetViews>
  <sheetFormatPr defaultColWidth="8.6328125" defaultRowHeight="14.5" x14ac:dyDescent="0.35"/>
  <cols>
    <col min="1" max="2" width="28" style="12" customWidth="1"/>
    <col min="3" max="3" width="34" style="12" customWidth="1"/>
    <col min="4" max="5" width="36" style="12" customWidth="1"/>
    <col min="6" max="6" width="24" style="12" customWidth="1"/>
    <col min="7" max="7" width="12" style="12" customWidth="1"/>
    <col min="8" max="8" width="4" style="12" customWidth="1"/>
    <col min="9" max="9" width="25" style="12" customWidth="1"/>
    <col min="10" max="10" width="10" style="12" customWidth="1"/>
  </cols>
  <sheetData>
    <row r="1" spans="1:10" ht="42" x14ac:dyDescent="0.25">
      <c r="A1" s="35" t="s">
        <v>1445</v>
      </c>
      <c r="B1" s="35"/>
      <c r="C1" s="35"/>
      <c r="D1" s="35"/>
      <c r="E1" s="35"/>
      <c r="F1" s="35"/>
      <c r="G1" s="35"/>
      <c r="H1" s="35"/>
      <c r="I1" s="35"/>
      <c r="J1" s="35"/>
    </row>
    <row r="2" spans="1:10" ht="72.5" x14ac:dyDescent="0.35">
      <c r="A2" s="19" t="s">
        <v>1446</v>
      </c>
      <c r="B2" s="19"/>
      <c r="C2" s="19"/>
      <c r="D2" s="19"/>
      <c r="E2" s="19"/>
      <c r="F2" s="19"/>
      <c r="G2" s="19"/>
      <c r="H2" s="19"/>
      <c r="I2" s="19"/>
      <c r="J2" s="19"/>
    </row>
    <row r="3" spans="1:10" x14ac:dyDescent="0.35">
      <c r="A3" s="19"/>
      <c r="B3" s="19"/>
      <c r="C3" s="19"/>
      <c r="D3" s="19"/>
      <c r="E3" s="19"/>
      <c r="F3" s="19"/>
      <c r="G3" s="19"/>
      <c r="H3" s="19"/>
      <c r="I3" s="19"/>
      <c r="J3" s="19"/>
    </row>
    <row r="4" spans="1:10" x14ac:dyDescent="0.35">
      <c r="A4" s="19" t="s">
        <v>3</v>
      </c>
      <c r="B4" s="19" t="s">
        <v>1447</v>
      </c>
      <c r="C4" s="19" t="s">
        <v>1448</v>
      </c>
      <c r="D4" s="19" t="s">
        <v>252</v>
      </c>
      <c r="E4" s="19" t="s">
        <v>1449</v>
      </c>
      <c r="F4" s="19" t="s">
        <v>1450</v>
      </c>
      <c r="G4" s="19" t="s">
        <v>1451</v>
      </c>
      <c r="H4" s="19"/>
      <c r="I4" s="19" t="s">
        <v>1452</v>
      </c>
      <c r="J4" s="19" t="s">
        <v>1453</v>
      </c>
    </row>
    <row r="5" spans="1:10" ht="43.5" x14ac:dyDescent="0.35">
      <c r="A5" s="19" t="s">
        <v>350</v>
      </c>
      <c r="B5" s="19" t="s">
        <v>1454</v>
      </c>
      <c r="C5" s="19" t="s">
        <v>1455</v>
      </c>
      <c r="D5" s="19" t="s">
        <v>1456</v>
      </c>
      <c r="E5" s="19" t="s">
        <v>1457</v>
      </c>
      <c r="F5" s="19" t="s">
        <v>1458</v>
      </c>
      <c r="G5" s="19">
        <v>7</v>
      </c>
      <c r="H5" s="19"/>
      <c r="I5" s="19" t="s">
        <v>1459</v>
      </c>
      <c r="J5" s="19">
        <v>7</v>
      </c>
    </row>
    <row r="6" spans="1:10" ht="43.5" x14ac:dyDescent="0.35">
      <c r="A6" s="19" t="s">
        <v>565</v>
      </c>
      <c r="B6" s="19" t="s">
        <v>1460</v>
      </c>
      <c r="C6" s="19" t="s">
        <v>1461</v>
      </c>
      <c r="D6" s="19" t="s">
        <v>1462</v>
      </c>
      <c r="E6" s="19" t="s">
        <v>1463</v>
      </c>
      <c r="F6" s="19" t="s">
        <v>1464</v>
      </c>
      <c r="G6" s="19">
        <v>1</v>
      </c>
      <c r="H6" s="19"/>
      <c r="I6" s="19" t="s">
        <v>86</v>
      </c>
      <c r="J6" s="19">
        <v>1</v>
      </c>
    </row>
    <row r="7" spans="1:10" ht="58" x14ac:dyDescent="0.35">
      <c r="A7" s="19" t="s">
        <v>420</v>
      </c>
      <c r="B7" s="19" t="s">
        <v>1465</v>
      </c>
      <c r="C7" s="19" t="s">
        <v>1466</v>
      </c>
      <c r="D7" s="19" t="s">
        <v>1467</v>
      </c>
      <c r="E7" s="19" t="s">
        <v>1468</v>
      </c>
      <c r="F7" s="19" t="s">
        <v>1469</v>
      </c>
      <c r="G7" s="19">
        <v>6</v>
      </c>
      <c r="H7" s="19"/>
      <c r="I7" s="19" t="s">
        <v>1470</v>
      </c>
      <c r="J7" s="19">
        <v>6</v>
      </c>
    </row>
    <row r="8" spans="1:10" ht="43.5" x14ac:dyDescent="0.35">
      <c r="A8" s="19" t="s">
        <v>419</v>
      </c>
      <c r="B8" s="19" t="s">
        <v>1471</v>
      </c>
      <c r="C8" s="19" t="s">
        <v>1472</v>
      </c>
      <c r="D8" s="19" t="s">
        <v>1473</v>
      </c>
      <c r="E8" s="19" t="s">
        <v>1474</v>
      </c>
      <c r="F8" s="19" t="s">
        <v>1475</v>
      </c>
      <c r="G8" s="19">
        <v>6</v>
      </c>
      <c r="H8" s="19"/>
      <c r="I8" s="19" t="s">
        <v>1476</v>
      </c>
      <c r="J8" s="19">
        <v>6</v>
      </c>
    </row>
    <row r="9" spans="1:10" ht="43.5" x14ac:dyDescent="0.35">
      <c r="A9" s="19" t="s">
        <v>278</v>
      </c>
      <c r="B9" s="19" t="s">
        <v>1477</v>
      </c>
      <c r="C9" s="19" t="s">
        <v>1478</v>
      </c>
      <c r="D9" s="19" t="s">
        <v>1479</v>
      </c>
      <c r="E9" s="19" t="s">
        <v>1480</v>
      </c>
      <c r="F9" s="19" t="s">
        <v>1481</v>
      </c>
      <c r="G9" s="19">
        <v>10</v>
      </c>
      <c r="H9" s="19"/>
      <c r="I9" s="19" t="s">
        <v>1482</v>
      </c>
      <c r="J9" s="19">
        <v>10</v>
      </c>
    </row>
    <row r="10" spans="1:10" ht="58" x14ac:dyDescent="0.35">
      <c r="A10" s="19" t="s">
        <v>377</v>
      </c>
      <c r="B10" s="19" t="s">
        <v>1483</v>
      </c>
      <c r="C10" s="19" t="s">
        <v>1484</v>
      </c>
      <c r="D10" s="19" t="s">
        <v>1485</v>
      </c>
      <c r="E10" s="19" t="s">
        <v>1486</v>
      </c>
      <c r="F10" s="19" t="s">
        <v>1487</v>
      </c>
      <c r="G10" s="19">
        <v>4</v>
      </c>
      <c r="H10" s="19"/>
      <c r="I10" s="19" t="s">
        <v>1488</v>
      </c>
      <c r="J10" s="19">
        <v>4</v>
      </c>
    </row>
    <row r="11" spans="1:10" ht="72.5" x14ac:dyDescent="0.35">
      <c r="A11" s="19" t="s">
        <v>277</v>
      </c>
      <c r="B11" s="19" t="s">
        <v>1489</v>
      </c>
      <c r="C11" s="19" t="s">
        <v>1490</v>
      </c>
      <c r="D11" s="19" t="s">
        <v>1491</v>
      </c>
      <c r="E11" s="19" t="s">
        <v>1492</v>
      </c>
      <c r="F11" s="19" t="s">
        <v>1493</v>
      </c>
      <c r="G11" s="19">
        <v>10</v>
      </c>
      <c r="H11" s="19"/>
      <c r="I11" s="19" t="s">
        <v>132</v>
      </c>
      <c r="J11" s="19">
        <v>10</v>
      </c>
    </row>
    <row r="12" spans="1:10" ht="58" x14ac:dyDescent="0.35">
      <c r="A12" s="19" t="s">
        <v>333</v>
      </c>
      <c r="B12" s="19" t="s">
        <v>1494</v>
      </c>
      <c r="C12" s="19" t="s">
        <v>1495</v>
      </c>
      <c r="D12" s="19" t="s">
        <v>1496</v>
      </c>
      <c r="E12" s="19" t="s">
        <v>1497</v>
      </c>
      <c r="F12" s="19" t="s">
        <v>1498</v>
      </c>
      <c r="G12" s="19">
        <v>8</v>
      </c>
      <c r="H12" s="19"/>
      <c r="I12" s="19" t="s">
        <v>1499</v>
      </c>
      <c r="J12" s="19">
        <v>8</v>
      </c>
    </row>
    <row r="13" spans="1:10" ht="43.5" x14ac:dyDescent="0.35">
      <c r="A13" s="19" t="s">
        <v>316</v>
      </c>
      <c r="B13" s="19" t="s">
        <v>1500</v>
      </c>
      <c r="C13" s="19" t="s">
        <v>1501</v>
      </c>
      <c r="D13" s="19" t="s">
        <v>1502</v>
      </c>
      <c r="E13" s="19" t="s">
        <v>1503</v>
      </c>
      <c r="F13" s="19" t="s">
        <v>1504</v>
      </c>
      <c r="G13" s="19">
        <v>2</v>
      </c>
      <c r="H13" s="19"/>
      <c r="I13" s="19" t="s">
        <v>180</v>
      </c>
      <c r="J13" s="19">
        <v>2</v>
      </c>
    </row>
    <row r="14" spans="1:10" ht="58" x14ac:dyDescent="0.35">
      <c r="A14" s="19" t="s">
        <v>299</v>
      </c>
      <c r="B14" s="19" t="s">
        <v>1505</v>
      </c>
      <c r="C14" s="19" t="s">
        <v>1506</v>
      </c>
      <c r="D14" s="19" t="s">
        <v>1507</v>
      </c>
      <c r="E14" s="19" t="s">
        <v>1508</v>
      </c>
      <c r="F14" s="19" t="s">
        <v>1509</v>
      </c>
      <c r="G14" s="19">
        <v>6</v>
      </c>
      <c r="H14" s="19"/>
      <c r="I14" s="19" t="s">
        <v>1510</v>
      </c>
      <c r="J14" s="19">
        <v>6</v>
      </c>
    </row>
    <row r="15" spans="1:10" x14ac:dyDescent="0.35">
      <c r="A15" s="19"/>
      <c r="B15" s="19"/>
      <c r="C15" s="19"/>
      <c r="D15" s="19"/>
      <c r="E15" s="19"/>
      <c r="F15" s="19"/>
      <c r="G15" s="19"/>
      <c r="H15" s="19"/>
      <c r="I15" s="19"/>
      <c r="J15" s="19"/>
    </row>
    <row r="16" spans="1:10" x14ac:dyDescent="0.35">
      <c r="A16" s="19"/>
      <c r="B16" s="19"/>
      <c r="C16" s="19"/>
      <c r="D16" s="19"/>
      <c r="E16" s="19"/>
      <c r="F16" s="19"/>
      <c r="G16" s="19"/>
      <c r="H16" s="19"/>
      <c r="I16" s="19"/>
      <c r="J16" s="19"/>
    </row>
    <row r="17" spans="1:10" ht="43.5" x14ac:dyDescent="0.35">
      <c r="A17" s="19" t="s">
        <v>1511</v>
      </c>
      <c r="B17" s="19"/>
      <c r="C17" s="19"/>
      <c r="D17" s="19"/>
      <c r="E17" s="19"/>
      <c r="F17" s="19"/>
      <c r="G17" s="19"/>
      <c r="H17" s="19"/>
      <c r="I17" s="19"/>
      <c r="J17" s="19"/>
    </row>
    <row r="18" spans="1:10" x14ac:dyDescent="0.35">
      <c r="A18" s="19" t="s">
        <v>189</v>
      </c>
      <c r="B18" s="19" t="s">
        <v>1512</v>
      </c>
      <c r="C18" s="19" t="s">
        <v>1513</v>
      </c>
      <c r="D18" s="19" t="s">
        <v>1514</v>
      </c>
      <c r="E18" s="19"/>
      <c r="F18" s="19"/>
      <c r="G18" s="19"/>
      <c r="H18" s="19"/>
      <c r="I18" s="19"/>
      <c r="J18" s="19"/>
    </row>
    <row r="19" spans="1:10" ht="58" x14ac:dyDescent="0.35">
      <c r="A19" s="19" t="s">
        <v>256</v>
      </c>
      <c r="B19" s="19" t="s">
        <v>1515</v>
      </c>
      <c r="C19" s="19" t="s">
        <v>1516</v>
      </c>
      <c r="D19" s="19" t="s">
        <v>1517</v>
      </c>
      <c r="E19" s="19"/>
      <c r="F19" s="19"/>
      <c r="G19" s="19"/>
      <c r="H19" s="19"/>
      <c r="I19" s="19"/>
      <c r="J19" s="19"/>
    </row>
    <row r="20" spans="1:10" ht="43.5" x14ac:dyDescent="0.35">
      <c r="A20" s="19" t="s">
        <v>201</v>
      </c>
      <c r="B20" s="19" t="s">
        <v>1518</v>
      </c>
      <c r="C20" s="19" t="s">
        <v>1519</v>
      </c>
      <c r="D20" s="19" t="s">
        <v>1520</v>
      </c>
      <c r="E20" s="19"/>
      <c r="F20" s="19"/>
      <c r="G20" s="19"/>
      <c r="H20" s="19"/>
      <c r="I20" s="19"/>
      <c r="J20" s="19"/>
    </row>
    <row r="21" spans="1:10" ht="43.5" x14ac:dyDescent="0.35">
      <c r="A21" s="19" t="s">
        <v>1521</v>
      </c>
      <c r="B21" s="19" t="s">
        <v>1522</v>
      </c>
      <c r="C21" s="19" t="s">
        <v>1523</v>
      </c>
      <c r="D21" s="19" t="s">
        <v>1524</v>
      </c>
      <c r="E21" s="19"/>
      <c r="F21" s="19"/>
      <c r="G21" s="19"/>
      <c r="H21" s="19"/>
      <c r="I21" s="19"/>
      <c r="J21" s="19"/>
    </row>
    <row r="22" spans="1:10" ht="29" x14ac:dyDescent="0.35">
      <c r="A22" s="19" t="s">
        <v>48</v>
      </c>
      <c r="B22" s="19" t="s">
        <v>1525</v>
      </c>
      <c r="C22" s="19" t="s">
        <v>1526</v>
      </c>
      <c r="D22" s="19" t="s">
        <v>1527</v>
      </c>
      <c r="E22" s="19"/>
      <c r="F22" s="19"/>
      <c r="G22" s="19"/>
      <c r="H22" s="19"/>
      <c r="I22" s="19"/>
      <c r="J22" s="19"/>
    </row>
    <row r="23" spans="1:10" ht="43.5" x14ac:dyDescent="0.35">
      <c r="A23" s="19" t="s">
        <v>1528</v>
      </c>
      <c r="B23" s="19" t="s">
        <v>1529</v>
      </c>
      <c r="C23" s="19" t="s">
        <v>1530</v>
      </c>
      <c r="D23" s="19" t="s">
        <v>1531</v>
      </c>
      <c r="E23" s="19"/>
      <c r="F23" s="19"/>
      <c r="G23" s="19"/>
      <c r="H23" s="19"/>
      <c r="I23" s="19"/>
      <c r="J23" s="19"/>
    </row>
    <row r="24" spans="1:10" ht="29" x14ac:dyDescent="0.35">
      <c r="A24" s="19" t="s">
        <v>217</v>
      </c>
      <c r="B24" s="19" t="s">
        <v>1532</v>
      </c>
      <c r="C24" s="19" t="s">
        <v>1533</v>
      </c>
      <c r="D24" s="19" t="s">
        <v>1534</v>
      </c>
      <c r="E24" s="19"/>
      <c r="F24" s="19"/>
      <c r="G24" s="19"/>
      <c r="H24" s="19"/>
      <c r="I24" s="19"/>
      <c r="J24" s="19"/>
    </row>
    <row r="25" spans="1:10" ht="29" x14ac:dyDescent="0.35">
      <c r="A25" s="19" t="s">
        <v>1535</v>
      </c>
      <c r="B25" s="19" t="s">
        <v>1536</v>
      </c>
      <c r="C25" s="19" t="s">
        <v>1537</v>
      </c>
      <c r="D25" s="19" t="s">
        <v>1538</v>
      </c>
      <c r="E25" s="19"/>
      <c r="F25" s="19"/>
      <c r="G25" s="19"/>
      <c r="H25" s="19"/>
      <c r="I25" s="19"/>
      <c r="J25" s="19"/>
    </row>
    <row r="26" spans="1:10" ht="43.5" x14ac:dyDescent="0.35">
      <c r="A26" s="19" t="s">
        <v>1539</v>
      </c>
      <c r="B26" s="19" t="s">
        <v>1540</v>
      </c>
      <c r="C26" s="19" t="s">
        <v>1541</v>
      </c>
      <c r="D26" s="19" t="s">
        <v>1542</v>
      </c>
      <c r="E26" s="19"/>
      <c r="F26" s="19"/>
      <c r="G26" s="19"/>
      <c r="H26" s="19"/>
      <c r="I26" s="19"/>
      <c r="J26" s="19"/>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4"/>
  <sheetViews>
    <sheetView zoomScaleNormal="100" workbookViewId="0">
      <selection sqref="A1:J1"/>
    </sheetView>
  </sheetViews>
  <sheetFormatPr defaultColWidth="8.6328125" defaultRowHeight="14.5" x14ac:dyDescent="0.35"/>
  <cols>
    <col min="1" max="1" width="11" style="12" customWidth="1"/>
    <col min="2" max="2" width="9" style="12" customWidth="1"/>
    <col min="3" max="3" width="48" style="12" customWidth="1"/>
    <col min="4" max="4" width="30" style="12" customWidth="1"/>
    <col min="5" max="6" width="16" style="12" customWidth="1"/>
    <col min="7" max="8" width="24" style="12" customWidth="1"/>
    <col min="9" max="9" width="18" style="12" customWidth="1"/>
    <col min="10" max="10" width="44" style="12" customWidth="1"/>
  </cols>
  <sheetData>
    <row r="1" spans="1:10" ht="19.399999999999999" customHeight="1" x14ac:dyDescent="0.25">
      <c r="A1" s="4" t="s">
        <v>1543</v>
      </c>
      <c r="B1" s="4"/>
      <c r="C1" s="4"/>
      <c r="D1" s="4"/>
      <c r="E1" s="4"/>
      <c r="F1" s="4"/>
      <c r="G1" s="4"/>
      <c r="H1" s="4"/>
      <c r="I1" s="4"/>
      <c r="J1" s="4"/>
    </row>
    <row r="2" spans="1:10" ht="15" customHeight="1" x14ac:dyDescent="0.35">
      <c r="A2" s="5" t="s">
        <v>1544</v>
      </c>
      <c r="B2" s="5"/>
      <c r="C2" s="5"/>
      <c r="D2" s="5"/>
      <c r="E2" s="5"/>
      <c r="F2" s="5"/>
      <c r="G2" s="5"/>
      <c r="H2" s="5"/>
      <c r="I2" s="5"/>
      <c r="J2" s="5"/>
    </row>
    <row r="4" spans="1:10" ht="29" x14ac:dyDescent="0.25">
      <c r="A4" s="14" t="s">
        <v>244</v>
      </c>
      <c r="B4" s="14" t="s">
        <v>246</v>
      </c>
      <c r="C4" s="14" t="s">
        <v>247</v>
      </c>
      <c r="D4" s="14" t="s">
        <v>249</v>
      </c>
      <c r="E4" s="14" t="s">
        <v>1545</v>
      </c>
      <c r="F4" s="14" t="s">
        <v>1546</v>
      </c>
      <c r="G4" s="14" t="s">
        <v>1547</v>
      </c>
      <c r="H4" s="14" t="s">
        <v>256</v>
      </c>
      <c r="I4" s="14" t="s">
        <v>48</v>
      </c>
      <c r="J4" s="14" t="s">
        <v>1548</v>
      </c>
    </row>
    <row r="5" spans="1:10" ht="26" x14ac:dyDescent="0.25">
      <c r="A5" s="36" t="s">
        <v>268</v>
      </c>
      <c r="B5" s="15" t="s">
        <v>270</v>
      </c>
      <c r="C5" s="15" t="s">
        <v>271</v>
      </c>
      <c r="D5" s="15" t="s">
        <v>273</v>
      </c>
      <c r="E5" s="15" t="s">
        <v>129</v>
      </c>
      <c r="F5" s="15" t="s">
        <v>111</v>
      </c>
      <c r="G5" s="15" t="s">
        <v>1549</v>
      </c>
      <c r="H5" s="15" t="s">
        <v>280</v>
      </c>
      <c r="I5" s="15" t="s">
        <v>281</v>
      </c>
      <c r="J5" s="15" t="s">
        <v>285</v>
      </c>
    </row>
    <row r="6" spans="1:10" ht="26" x14ac:dyDescent="0.25">
      <c r="A6" s="36" t="s">
        <v>293</v>
      </c>
      <c r="B6" s="15" t="s">
        <v>270</v>
      </c>
      <c r="C6" s="15" t="s">
        <v>294</v>
      </c>
      <c r="D6" s="15" t="s">
        <v>295</v>
      </c>
      <c r="E6" s="15" t="s">
        <v>163</v>
      </c>
      <c r="F6" s="15" t="s">
        <v>111</v>
      </c>
      <c r="G6" s="15" t="s">
        <v>1550</v>
      </c>
      <c r="H6" s="15" t="s">
        <v>301</v>
      </c>
      <c r="I6" s="15" t="s">
        <v>281</v>
      </c>
      <c r="J6" s="15" t="s">
        <v>304</v>
      </c>
    </row>
    <row r="7" spans="1:10" ht="39" x14ac:dyDescent="0.25">
      <c r="A7" s="36" t="s">
        <v>309</v>
      </c>
      <c r="B7" s="15" t="s">
        <v>270</v>
      </c>
      <c r="C7" s="15" t="s">
        <v>310</v>
      </c>
      <c r="D7" s="15" t="s">
        <v>312</v>
      </c>
      <c r="E7" s="15" t="s">
        <v>179</v>
      </c>
      <c r="F7" s="15" t="s">
        <v>111</v>
      </c>
      <c r="G7" s="15" t="s">
        <v>1551</v>
      </c>
      <c r="H7" s="15" t="s">
        <v>318</v>
      </c>
      <c r="I7" s="15" t="s">
        <v>281</v>
      </c>
      <c r="J7" s="15" t="s">
        <v>321</v>
      </c>
    </row>
    <row r="8" spans="1:10" ht="26" x14ac:dyDescent="0.25">
      <c r="A8" s="36" t="s">
        <v>326</v>
      </c>
      <c r="B8" s="15" t="s">
        <v>270</v>
      </c>
      <c r="C8" s="15" t="s">
        <v>327</v>
      </c>
      <c r="D8" s="15" t="s">
        <v>329</v>
      </c>
      <c r="E8" s="15" t="s">
        <v>170</v>
      </c>
      <c r="F8" s="15" t="s">
        <v>111</v>
      </c>
      <c r="G8" s="15" t="s">
        <v>1552</v>
      </c>
      <c r="H8" s="15" t="s">
        <v>335</v>
      </c>
      <c r="I8" s="15" t="s">
        <v>281</v>
      </c>
      <c r="J8" s="15" t="s">
        <v>338</v>
      </c>
    </row>
    <row r="9" spans="1:10" ht="26" x14ac:dyDescent="0.25">
      <c r="A9" s="36" t="s">
        <v>343</v>
      </c>
      <c r="B9" s="15" t="s">
        <v>270</v>
      </c>
      <c r="C9" s="15" t="s">
        <v>344</v>
      </c>
      <c r="D9" s="15" t="s">
        <v>346</v>
      </c>
      <c r="E9" s="15" t="s">
        <v>51</v>
      </c>
      <c r="F9" s="15" t="s">
        <v>179</v>
      </c>
      <c r="G9" s="15" t="s">
        <v>53</v>
      </c>
      <c r="H9" s="15" t="s">
        <v>352</v>
      </c>
      <c r="I9" s="15" t="s">
        <v>281</v>
      </c>
      <c r="J9" s="15" t="s">
        <v>355</v>
      </c>
    </row>
    <row r="10" spans="1:10" ht="39" x14ac:dyDescent="0.25">
      <c r="A10" s="36" t="s">
        <v>359</v>
      </c>
      <c r="B10" s="15" t="s">
        <v>270</v>
      </c>
      <c r="C10" s="15" t="s">
        <v>360</v>
      </c>
      <c r="D10" s="15" t="s">
        <v>361</v>
      </c>
      <c r="E10" s="15" t="s">
        <v>170</v>
      </c>
      <c r="F10" s="15" t="s">
        <v>111</v>
      </c>
      <c r="G10" s="15" t="s">
        <v>1552</v>
      </c>
      <c r="H10" s="15" t="s">
        <v>366</v>
      </c>
      <c r="I10" s="15" t="s">
        <v>281</v>
      </c>
      <c r="J10" s="15" t="s">
        <v>369</v>
      </c>
    </row>
    <row r="11" spans="1:10" ht="26" x14ac:dyDescent="0.25">
      <c r="A11" s="36" t="s">
        <v>370</v>
      </c>
      <c r="B11" s="15" t="s">
        <v>270</v>
      </c>
      <c r="C11" s="15" t="s">
        <v>371</v>
      </c>
      <c r="D11" s="15" t="s">
        <v>373</v>
      </c>
      <c r="E11" s="15" t="s">
        <v>120</v>
      </c>
      <c r="F11" s="15" t="s">
        <v>111</v>
      </c>
      <c r="G11" s="15" t="s">
        <v>1553</v>
      </c>
      <c r="H11" s="15" t="s">
        <v>379</v>
      </c>
      <c r="I11" s="15" t="s">
        <v>281</v>
      </c>
      <c r="J11" s="15" t="s">
        <v>382</v>
      </c>
    </row>
    <row r="12" spans="1:10" ht="39" x14ac:dyDescent="0.25">
      <c r="A12" s="36" t="s">
        <v>386</v>
      </c>
      <c r="B12" s="15" t="s">
        <v>270</v>
      </c>
      <c r="C12" s="15" t="s">
        <v>387</v>
      </c>
      <c r="D12" s="15" t="s">
        <v>389</v>
      </c>
      <c r="E12" s="15" t="s">
        <v>129</v>
      </c>
      <c r="F12" s="15" t="s">
        <v>111</v>
      </c>
      <c r="G12" s="15" t="s">
        <v>1549</v>
      </c>
      <c r="H12" s="15" t="s">
        <v>393</v>
      </c>
      <c r="I12" s="15" t="s">
        <v>281</v>
      </c>
      <c r="J12" s="15" t="s">
        <v>396</v>
      </c>
    </row>
    <row r="13" spans="1:10" ht="26" x14ac:dyDescent="0.25">
      <c r="A13" s="36" t="s">
        <v>397</v>
      </c>
      <c r="B13" s="15" t="s">
        <v>270</v>
      </c>
      <c r="C13" s="15" t="s">
        <v>398</v>
      </c>
      <c r="D13" s="15" t="s">
        <v>400</v>
      </c>
      <c r="E13" s="15" t="s">
        <v>111</v>
      </c>
      <c r="F13" s="15" t="s">
        <v>129</v>
      </c>
      <c r="G13" s="15" t="s">
        <v>113</v>
      </c>
      <c r="H13" s="15" t="s">
        <v>405</v>
      </c>
      <c r="I13" s="15" t="s">
        <v>406</v>
      </c>
      <c r="J13" s="15" t="s">
        <v>409</v>
      </c>
    </row>
    <row r="14" spans="1:10" ht="39" x14ac:dyDescent="0.25">
      <c r="A14" s="36" t="s">
        <v>412</v>
      </c>
      <c r="B14" s="15" t="s">
        <v>270</v>
      </c>
      <c r="C14" s="15" t="s">
        <v>413</v>
      </c>
      <c r="D14" s="15" t="s">
        <v>415</v>
      </c>
      <c r="E14" s="15" t="s">
        <v>138</v>
      </c>
      <c r="F14" s="15" t="s">
        <v>94</v>
      </c>
      <c r="G14" s="15" t="s">
        <v>113</v>
      </c>
      <c r="H14" s="15" t="s">
        <v>422</v>
      </c>
      <c r="I14" s="15" t="s">
        <v>423</v>
      </c>
      <c r="J14" s="15" t="s">
        <v>426</v>
      </c>
    </row>
    <row r="15" spans="1:10" ht="26" x14ac:dyDescent="0.25">
      <c r="A15" s="36" t="s">
        <v>430</v>
      </c>
      <c r="B15" s="15" t="s">
        <v>270</v>
      </c>
      <c r="C15" s="15" t="s">
        <v>431</v>
      </c>
      <c r="D15" s="15" t="s">
        <v>433</v>
      </c>
      <c r="E15" s="15" t="s">
        <v>129</v>
      </c>
      <c r="F15" s="15" t="s">
        <v>120</v>
      </c>
      <c r="G15" s="15" t="s">
        <v>1549</v>
      </c>
      <c r="H15" s="15" t="s">
        <v>438</v>
      </c>
      <c r="I15" s="15" t="s">
        <v>281</v>
      </c>
      <c r="J15" s="15" t="s">
        <v>441</v>
      </c>
    </row>
    <row r="16" spans="1:10" ht="26" x14ac:dyDescent="0.25">
      <c r="A16" s="36" t="s">
        <v>443</v>
      </c>
      <c r="B16" s="15" t="s">
        <v>270</v>
      </c>
      <c r="C16" s="15" t="s">
        <v>444</v>
      </c>
      <c r="D16" s="15" t="s">
        <v>446</v>
      </c>
      <c r="E16" s="15" t="s">
        <v>77</v>
      </c>
      <c r="F16" s="15" t="s">
        <v>111</v>
      </c>
      <c r="G16" s="15" t="s">
        <v>1553</v>
      </c>
      <c r="H16" s="15" t="s">
        <v>451</v>
      </c>
      <c r="I16" s="15" t="s">
        <v>281</v>
      </c>
      <c r="J16" s="15" t="s">
        <v>454</v>
      </c>
    </row>
    <row r="17" spans="1:10" ht="26" x14ac:dyDescent="0.25">
      <c r="A17" s="36" t="s">
        <v>456</v>
      </c>
      <c r="B17" s="15" t="s">
        <v>270</v>
      </c>
      <c r="C17" s="15" t="s">
        <v>457</v>
      </c>
      <c r="D17" s="15" t="s">
        <v>459</v>
      </c>
      <c r="E17" s="15" t="s">
        <v>111</v>
      </c>
      <c r="F17" s="15" t="s">
        <v>129</v>
      </c>
      <c r="G17" s="15" t="s">
        <v>113</v>
      </c>
      <c r="H17" s="15" t="s">
        <v>464</v>
      </c>
      <c r="I17" s="15" t="s">
        <v>281</v>
      </c>
      <c r="J17" s="15" t="s">
        <v>467</v>
      </c>
    </row>
    <row r="18" spans="1:10" ht="26" x14ac:dyDescent="0.25">
      <c r="A18" s="36" t="s">
        <v>469</v>
      </c>
      <c r="B18" s="15" t="s">
        <v>270</v>
      </c>
      <c r="C18" s="15" t="s">
        <v>470</v>
      </c>
      <c r="D18" s="15" t="s">
        <v>472</v>
      </c>
      <c r="E18" s="15" t="s">
        <v>146</v>
      </c>
      <c r="F18" s="15" t="s">
        <v>111</v>
      </c>
      <c r="G18" s="15" t="s">
        <v>148</v>
      </c>
      <c r="H18" s="15" t="s">
        <v>477</v>
      </c>
      <c r="I18" s="15" t="s">
        <v>281</v>
      </c>
      <c r="J18" s="15" t="s">
        <v>480</v>
      </c>
    </row>
    <row r="19" spans="1:10" ht="39" x14ac:dyDescent="0.25">
      <c r="A19" s="36" t="s">
        <v>482</v>
      </c>
      <c r="B19" s="15" t="s">
        <v>270</v>
      </c>
      <c r="C19" s="15" t="s">
        <v>483</v>
      </c>
      <c r="D19" s="15" t="s">
        <v>485</v>
      </c>
      <c r="E19" s="15" t="s">
        <v>111</v>
      </c>
      <c r="F19" s="15" t="s">
        <v>129</v>
      </c>
      <c r="G19" s="15" t="s">
        <v>113</v>
      </c>
      <c r="H19" s="15" t="s">
        <v>490</v>
      </c>
      <c r="I19" s="15" t="s">
        <v>281</v>
      </c>
      <c r="J19" s="15" t="s">
        <v>493</v>
      </c>
    </row>
    <row r="20" spans="1:10" ht="26" x14ac:dyDescent="0.25">
      <c r="A20" s="36" t="s">
        <v>495</v>
      </c>
      <c r="B20" s="15" t="s">
        <v>270</v>
      </c>
      <c r="C20" s="15" t="s">
        <v>496</v>
      </c>
      <c r="D20" s="15" t="s">
        <v>497</v>
      </c>
      <c r="E20" s="15" t="s">
        <v>170</v>
      </c>
      <c r="F20" s="15" t="s">
        <v>111</v>
      </c>
      <c r="G20" s="15" t="s">
        <v>1552</v>
      </c>
      <c r="H20" s="15" t="s">
        <v>501</v>
      </c>
      <c r="I20" s="15" t="s">
        <v>281</v>
      </c>
      <c r="J20" s="15" t="s">
        <v>504</v>
      </c>
    </row>
    <row r="21" spans="1:10" ht="26" x14ac:dyDescent="0.25">
      <c r="A21" s="36" t="s">
        <v>506</v>
      </c>
      <c r="B21" s="15" t="s">
        <v>507</v>
      </c>
      <c r="C21" s="15" t="s">
        <v>508</v>
      </c>
      <c r="D21" s="15" t="s">
        <v>510</v>
      </c>
      <c r="E21" s="15" t="s">
        <v>111</v>
      </c>
      <c r="F21" s="15" t="s">
        <v>163</v>
      </c>
      <c r="G21" s="15" t="s">
        <v>113</v>
      </c>
      <c r="H21" s="15" t="s">
        <v>515</v>
      </c>
      <c r="I21" s="15" t="s">
        <v>281</v>
      </c>
      <c r="J21" s="15" t="s">
        <v>519</v>
      </c>
    </row>
    <row r="22" spans="1:10" ht="26" x14ac:dyDescent="0.25">
      <c r="A22" s="36" t="s">
        <v>521</v>
      </c>
      <c r="B22" s="15" t="s">
        <v>270</v>
      </c>
      <c r="C22" s="15" t="s">
        <v>522</v>
      </c>
      <c r="D22" s="15" t="s">
        <v>523</v>
      </c>
      <c r="E22" s="15" t="s">
        <v>120</v>
      </c>
      <c r="F22" s="15" t="s">
        <v>111</v>
      </c>
      <c r="G22" s="15" t="s">
        <v>1553</v>
      </c>
      <c r="H22" s="15" t="s">
        <v>527</v>
      </c>
      <c r="I22" s="15" t="s">
        <v>281</v>
      </c>
      <c r="J22" s="15" t="s">
        <v>530</v>
      </c>
    </row>
    <row r="23" spans="1:10" ht="26" x14ac:dyDescent="0.25">
      <c r="A23" s="36" t="s">
        <v>532</v>
      </c>
      <c r="B23" s="15" t="s">
        <v>270</v>
      </c>
      <c r="C23" s="15" t="s">
        <v>533</v>
      </c>
      <c r="D23" s="15" t="s">
        <v>534</v>
      </c>
      <c r="E23" s="15" t="s">
        <v>163</v>
      </c>
      <c r="F23" s="15" t="s">
        <v>111</v>
      </c>
      <c r="G23" s="15" t="s">
        <v>1550</v>
      </c>
      <c r="H23" s="15" t="s">
        <v>539</v>
      </c>
      <c r="I23" s="15" t="s">
        <v>281</v>
      </c>
      <c r="J23" s="15" t="s">
        <v>542</v>
      </c>
    </row>
    <row r="24" spans="1:10" ht="26" x14ac:dyDescent="0.25">
      <c r="A24" s="36" t="s">
        <v>544</v>
      </c>
      <c r="B24" s="15" t="s">
        <v>270</v>
      </c>
      <c r="C24" s="15" t="s">
        <v>545</v>
      </c>
      <c r="D24" s="15" t="s">
        <v>546</v>
      </c>
      <c r="E24" s="15" t="s">
        <v>146</v>
      </c>
      <c r="F24" s="15" t="s">
        <v>179</v>
      </c>
      <c r="G24" s="15" t="s">
        <v>148</v>
      </c>
      <c r="H24" s="15" t="s">
        <v>477</v>
      </c>
      <c r="I24" s="15" t="s">
        <v>551</v>
      </c>
      <c r="J24" s="15" t="s">
        <v>554</v>
      </c>
    </row>
    <row r="25" spans="1:10" ht="26" x14ac:dyDescent="0.25">
      <c r="A25" s="36" t="s">
        <v>556</v>
      </c>
      <c r="B25" s="15" t="s">
        <v>558</v>
      </c>
      <c r="C25" s="15" t="s">
        <v>559</v>
      </c>
      <c r="D25" s="15" t="s">
        <v>561</v>
      </c>
      <c r="E25" s="15" t="s">
        <v>85</v>
      </c>
      <c r="F25" s="15" t="s">
        <v>77</v>
      </c>
      <c r="G25" s="15" t="s">
        <v>87</v>
      </c>
      <c r="H25" s="15" t="s">
        <v>567</v>
      </c>
      <c r="I25" s="15" t="s">
        <v>568</v>
      </c>
      <c r="J25" s="15" t="s">
        <v>572</v>
      </c>
    </row>
    <row r="26" spans="1:10" ht="26" x14ac:dyDescent="0.25">
      <c r="A26" s="36" t="s">
        <v>576</v>
      </c>
      <c r="B26" s="15" t="s">
        <v>577</v>
      </c>
      <c r="C26" s="15" t="s">
        <v>578</v>
      </c>
      <c r="D26" s="15" t="s">
        <v>580</v>
      </c>
      <c r="E26" s="15" t="s">
        <v>94</v>
      </c>
      <c r="F26" s="15" t="s">
        <v>85</v>
      </c>
      <c r="G26" s="15" t="s">
        <v>87</v>
      </c>
      <c r="H26" s="15" t="s">
        <v>584</v>
      </c>
      <c r="I26" s="15" t="s">
        <v>118</v>
      </c>
      <c r="J26" s="15" t="s">
        <v>588</v>
      </c>
    </row>
    <row r="27" spans="1:10" ht="26" x14ac:dyDescent="0.25">
      <c r="A27" s="36" t="s">
        <v>592</v>
      </c>
      <c r="B27" s="15" t="s">
        <v>593</v>
      </c>
      <c r="C27" s="15" t="s">
        <v>594</v>
      </c>
      <c r="D27" s="15" t="s">
        <v>596</v>
      </c>
      <c r="E27" s="15" t="s">
        <v>94</v>
      </c>
      <c r="F27" s="15" t="s">
        <v>85</v>
      </c>
      <c r="G27" s="15" t="s">
        <v>87</v>
      </c>
      <c r="H27" s="15" t="s">
        <v>600</v>
      </c>
      <c r="I27" s="15" t="s">
        <v>601</v>
      </c>
      <c r="J27" s="15" t="s">
        <v>605</v>
      </c>
    </row>
    <row r="28" spans="1:10" ht="26" x14ac:dyDescent="0.25">
      <c r="A28" s="36" t="s">
        <v>607</v>
      </c>
      <c r="B28" s="15" t="s">
        <v>608</v>
      </c>
      <c r="C28" s="15" t="s">
        <v>609</v>
      </c>
      <c r="D28" s="15" t="s">
        <v>610</v>
      </c>
      <c r="E28" s="15" t="s">
        <v>94</v>
      </c>
      <c r="F28" s="15" t="s">
        <v>179</v>
      </c>
      <c r="G28" s="15" t="s">
        <v>87</v>
      </c>
      <c r="H28" s="15" t="s">
        <v>615</v>
      </c>
      <c r="I28" s="15" t="s">
        <v>118</v>
      </c>
      <c r="J28" s="15" t="s">
        <v>619</v>
      </c>
    </row>
    <row r="29" spans="1:10" ht="26" x14ac:dyDescent="0.25">
      <c r="A29" s="36" t="s">
        <v>621</v>
      </c>
      <c r="B29" s="15" t="s">
        <v>577</v>
      </c>
      <c r="C29" s="15" t="s">
        <v>622</v>
      </c>
      <c r="D29" s="15" t="s">
        <v>624</v>
      </c>
      <c r="E29" s="15" t="s">
        <v>94</v>
      </c>
      <c r="F29" s="15" t="s">
        <v>129</v>
      </c>
      <c r="G29" s="15" t="s">
        <v>87</v>
      </c>
      <c r="H29" s="15" t="s">
        <v>629</v>
      </c>
      <c r="I29" s="15" t="s">
        <v>630</v>
      </c>
      <c r="J29" s="15" t="s">
        <v>633</v>
      </c>
    </row>
    <row r="30" spans="1:10" ht="39" x14ac:dyDescent="0.25">
      <c r="A30" s="36" t="s">
        <v>635</v>
      </c>
      <c r="B30" s="15" t="s">
        <v>608</v>
      </c>
      <c r="C30" s="15" t="s">
        <v>636</v>
      </c>
      <c r="D30" s="15" t="s">
        <v>638</v>
      </c>
      <c r="E30" s="15" t="s">
        <v>94</v>
      </c>
      <c r="F30" s="15" t="s">
        <v>129</v>
      </c>
      <c r="G30" s="15" t="s">
        <v>87</v>
      </c>
      <c r="H30" s="15" t="s">
        <v>642</v>
      </c>
      <c r="I30" s="15" t="s">
        <v>643</v>
      </c>
      <c r="J30" s="15" t="s">
        <v>647</v>
      </c>
    </row>
    <row r="31" spans="1:10" ht="26" x14ac:dyDescent="0.25">
      <c r="A31" s="36" t="s">
        <v>649</v>
      </c>
      <c r="B31" s="15" t="s">
        <v>608</v>
      </c>
      <c r="C31" s="15" t="s">
        <v>650</v>
      </c>
      <c r="D31" s="15" t="s">
        <v>638</v>
      </c>
      <c r="E31" s="15" t="s">
        <v>94</v>
      </c>
      <c r="F31" s="15" t="s">
        <v>129</v>
      </c>
      <c r="G31" s="15" t="s">
        <v>87</v>
      </c>
      <c r="H31" s="15" t="s">
        <v>654</v>
      </c>
      <c r="I31" s="15" t="s">
        <v>643</v>
      </c>
      <c r="J31" s="15" t="s">
        <v>658</v>
      </c>
    </row>
    <row r="32" spans="1:10" ht="26" x14ac:dyDescent="0.25">
      <c r="A32" s="36" t="s">
        <v>660</v>
      </c>
      <c r="B32" s="15" t="s">
        <v>661</v>
      </c>
      <c r="C32" s="15" t="s">
        <v>662</v>
      </c>
      <c r="D32" s="15" t="s">
        <v>663</v>
      </c>
      <c r="E32" s="15" t="s">
        <v>111</v>
      </c>
      <c r="F32" s="15" t="s">
        <v>129</v>
      </c>
      <c r="G32" s="15" t="s">
        <v>113</v>
      </c>
      <c r="H32" s="15" t="s">
        <v>667</v>
      </c>
      <c r="I32" s="15" t="s">
        <v>668</v>
      </c>
      <c r="J32" s="15" t="s">
        <v>672</v>
      </c>
    </row>
    <row r="33" spans="1:10" ht="26" x14ac:dyDescent="0.25">
      <c r="A33" s="36" t="s">
        <v>674</v>
      </c>
      <c r="B33" s="15" t="s">
        <v>675</v>
      </c>
      <c r="C33" s="15" t="s">
        <v>676</v>
      </c>
      <c r="D33" s="15" t="s">
        <v>678</v>
      </c>
      <c r="E33" s="15" t="s">
        <v>138</v>
      </c>
      <c r="F33" s="15" t="s">
        <v>163</v>
      </c>
      <c r="G33" s="15" t="s">
        <v>113</v>
      </c>
      <c r="H33" s="15" t="s">
        <v>683</v>
      </c>
      <c r="I33" s="15" t="s">
        <v>684</v>
      </c>
      <c r="J33" s="15" t="s">
        <v>687</v>
      </c>
    </row>
    <row r="34" spans="1:10" ht="26" x14ac:dyDescent="0.25">
      <c r="A34" s="36" t="s">
        <v>689</v>
      </c>
      <c r="B34" s="15" t="s">
        <v>608</v>
      </c>
      <c r="C34" s="15" t="s">
        <v>690</v>
      </c>
      <c r="D34" s="15" t="s">
        <v>678</v>
      </c>
      <c r="E34" s="15" t="s">
        <v>138</v>
      </c>
      <c r="F34" s="15" t="s">
        <v>163</v>
      </c>
      <c r="G34" s="15" t="s">
        <v>113</v>
      </c>
      <c r="H34" s="15" t="s">
        <v>695</v>
      </c>
      <c r="I34" s="15" t="s">
        <v>696</v>
      </c>
      <c r="J34" s="15" t="s">
        <v>700</v>
      </c>
    </row>
    <row r="35" spans="1:10" ht="26" x14ac:dyDescent="0.25">
      <c r="A35" s="36" t="s">
        <v>702</v>
      </c>
      <c r="B35" s="15" t="s">
        <v>703</v>
      </c>
      <c r="C35" s="15" t="s">
        <v>704</v>
      </c>
      <c r="D35" s="15" t="s">
        <v>706</v>
      </c>
      <c r="E35" s="15" t="s">
        <v>138</v>
      </c>
      <c r="F35" s="15" t="s">
        <v>163</v>
      </c>
      <c r="G35" s="15" t="s">
        <v>113</v>
      </c>
      <c r="H35" s="15" t="s">
        <v>711</v>
      </c>
      <c r="I35" s="15" t="s">
        <v>712</v>
      </c>
      <c r="J35" s="15" t="s">
        <v>715</v>
      </c>
    </row>
    <row r="36" spans="1:10" ht="26" x14ac:dyDescent="0.25">
      <c r="A36" s="36" t="s">
        <v>717</v>
      </c>
      <c r="B36" s="15" t="s">
        <v>718</v>
      </c>
      <c r="C36" s="15" t="s">
        <v>719</v>
      </c>
      <c r="D36" s="15" t="s">
        <v>678</v>
      </c>
      <c r="E36" s="15" t="s">
        <v>138</v>
      </c>
      <c r="F36" s="15" t="s">
        <v>77</v>
      </c>
      <c r="G36" s="15" t="s">
        <v>113</v>
      </c>
      <c r="H36" s="15" t="s">
        <v>724</v>
      </c>
      <c r="I36" s="15" t="s">
        <v>725</v>
      </c>
      <c r="J36" s="15" t="s">
        <v>728</v>
      </c>
    </row>
    <row r="37" spans="1:10" ht="26" x14ac:dyDescent="0.25">
      <c r="A37" s="36" t="s">
        <v>730</v>
      </c>
      <c r="B37" s="15" t="s">
        <v>731</v>
      </c>
      <c r="C37" s="15" t="s">
        <v>732</v>
      </c>
      <c r="D37" s="15" t="s">
        <v>678</v>
      </c>
      <c r="E37" s="15" t="s">
        <v>138</v>
      </c>
      <c r="F37" s="15" t="s">
        <v>163</v>
      </c>
      <c r="G37" s="15" t="s">
        <v>113</v>
      </c>
      <c r="H37" s="15" t="s">
        <v>736</v>
      </c>
      <c r="I37" s="15" t="s">
        <v>423</v>
      </c>
      <c r="J37" s="15" t="s">
        <v>739</v>
      </c>
    </row>
    <row r="38" spans="1:10" ht="13" x14ac:dyDescent="0.25">
      <c r="A38" s="36" t="s">
        <v>741</v>
      </c>
      <c r="B38" s="15" t="s">
        <v>703</v>
      </c>
      <c r="C38" s="15" t="s">
        <v>742</v>
      </c>
      <c r="D38" s="15" t="s">
        <v>744</v>
      </c>
      <c r="E38" s="15" t="s">
        <v>111</v>
      </c>
      <c r="F38" s="15" t="s">
        <v>77</v>
      </c>
      <c r="G38" s="15" t="s">
        <v>113</v>
      </c>
      <c r="H38" s="15" t="s">
        <v>748</v>
      </c>
      <c r="I38" s="15" t="s">
        <v>281</v>
      </c>
      <c r="J38" s="15" t="s">
        <v>752</v>
      </c>
    </row>
    <row r="39" spans="1:10" ht="39" x14ac:dyDescent="0.25">
      <c r="A39" s="36" t="s">
        <v>754</v>
      </c>
      <c r="B39" s="15" t="s">
        <v>608</v>
      </c>
      <c r="C39" s="15" t="s">
        <v>756</v>
      </c>
      <c r="D39" s="15" t="s">
        <v>758</v>
      </c>
      <c r="E39" s="15" t="s">
        <v>111</v>
      </c>
      <c r="F39" s="15" t="s">
        <v>120</v>
      </c>
      <c r="G39" s="15" t="s">
        <v>113</v>
      </c>
      <c r="H39" s="15" t="s">
        <v>762</v>
      </c>
      <c r="I39" s="15" t="s">
        <v>281</v>
      </c>
      <c r="J39" s="15" t="s">
        <v>766</v>
      </c>
    </row>
    <row r="40" spans="1:10" ht="39" x14ac:dyDescent="0.25">
      <c r="A40" s="36" t="s">
        <v>771</v>
      </c>
      <c r="B40" s="15" t="s">
        <v>772</v>
      </c>
      <c r="C40" s="15" t="s">
        <v>773</v>
      </c>
      <c r="D40" s="15" t="s">
        <v>775</v>
      </c>
      <c r="E40" s="15" t="s">
        <v>77</v>
      </c>
      <c r="F40" s="15" t="s">
        <v>129</v>
      </c>
      <c r="G40" s="15" t="s">
        <v>1553</v>
      </c>
      <c r="H40" s="15" t="s">
        <v>780</v>
      </c>
      <c r="I40" s="15" t="s">
        <v>781</v>
      </c>
      <c r="J40" s="15" t="s">
        <v>785</v>
      </c>
    </row>
    <row r="41" spans="1:10" ht="39" x14ac:dyDescent="0.25">
      <c r="A41" s="36" t="s">
        <v>787</v>
      </c>
      <c r="B41" s="15" t="s">
        <v>772</v>
      </c>
      <c r="C41" s="15" t="s">
        <v>788</v>
      </c>
      <c r="D41" s="15" t="s">
        <v>789</v>
      </c>
      <c r="E41" s="15" t="s">
        <v>111</v>
      </c>
      <c r="F41" s="15" t="s">
        <v>120</v>
      </c>
      <c r="G41" s="15" t="s">
        <v>113</v>
      </c>
      <c r="H41" s="15" t="s">
        <v>793</v>
      </c>
      <c r="I41" s="15" t="s">
        <v>281</v>
      </c>
      <c r="J41" s="15" t="s">
        <v>797</v>
      </c>
    </row>
    <row r="42" spans="1:10" ht="39" x14ac:dyDescent="0.25">
      <c r="A42" s="36" t="s">
        <v>799</v>
      </c>
      <c r="B42" s="15" t="s">
        <v>800</v>
      </c>
      <c r="C42" s="15" t="s">
        <v>801</v>
      </c>
      <c r="D42" s="15" t="s">
        <v>802</v>
      </c>
      <c r="E42" s="15" t="s">
        <v>77</v>
      </c>
      <c r="F42" s="15" t="s">
        <v>111</v>
      </c>
      <c r="G42" s="15" t="s">
        <v>1553</v>
      </c>
      <c r="H42" s="15" t="s">
        <v>451</v>
      </c>
      <c r="I42" s="15" t="s">
        <v>281</v>
      </c>
      <c r="J42" s="15" t="s">
        <v>810</v>
      </c>
    </row>
    <row r="43" spans="1:10" ht="39" x14ac:dyDescent="0.25">
      <c r="A43" s="36" t="s">
        <v>812</v>
      </c>
      <c r="B43" s="15" t="s">
        <v>813</v>
      </c>
      <c r="C43" s="15" t="s">
        <v>814</v>
      </c>
      <c r="D43" s="15" t="s">
        <v>815</v>
      </c>
      <c r="E43" s="15" t="s">
        <v>170</v>
      </c>
      <c r="F43" s="15" t="s">
        <v>111</v>
      </c>
      <c r="G43" s="15" t="s">
        <v>1552</v>
      </c>
      <c r="H43" s="15" t="s">
        <v>819</v>
      </c>
      <c r="I43" s="15" t="s">
        <v>281</v>
      </c>
      <c r="J43" s="15" t="s">
        <v>822</v>
      </c>
    </row>
    <row r="44" spans="1:10" ht="26" x14ac:dyDescent="0.25">
      <c r="A44" s="36" t="s">
        <v>824</v>
      </c>
      <c r="B44" s="15" t="s">
        <v>800</v>
      </c>
      <c r="C44" s="15" t="s">
        <v>825</v>
      </c>
      <c r="D44" s="15" t="s">
        <v>826</v>
      </c>
      <c r="E44" s="15" t="s">
        <v>146</v>
      </c>
      <c r="F44" s="15" t="s">
        <v>170</v>
      </c>
      <c r="G44" s="15" t="s">
        <v>148</v>
      </c>
      <c r="H44" s="15" t="s">
        <v>477</v>
      </c>
      <c r="I44" s="15" t="s">
        <v>551</v>
      </c>
      <c r="J44" s="15" t="s">
        <v>833</v>
      </c>
    </row>
    <row r="45" spans="1:10" ht="26" x14ac:dyDescent="0.25">
      <c r="A45" s="36" t="s">
        <v>835</v>
      </c>
      <c r="B45" s="15" t="s">
        <v>836</v>
      </c>
      <c r="C45" s="15" t="s">
        <v>837</v>
      </c>
      <c r="D45" s="15" t="s">
        <v>839</v>
      </c>
      <c r="E45" s="15" t="s">
        <v>129</v>
      </c>
      <c r="F45" s="15" t="s">
        <v>120</v>
      </c>
      <c r="G45" s="15" t="s">
        <v>1549</v>
      </c>
      <c r="H45" s="15" t="s">
        <v>844</v>
      </c>
      <c r="I45" s="15" t="s">
        <v>281</v>
      </c>
      <c r="J45" s="15" t="s">
        <v>848</v>
      </c>
    </row>
    <row r="46" spans="1:10" ht="26" x14ac:dyDescent="0.25">
      <c r="A46" s="36" t="s">
        <v>850</v>
      </c>
      <c r="B46" s="15" t="s">
        <v>731</v>
      </c>
      <c r="C46" s="15" t="s">
        <v>851</v>
      </c>
      <c r="D46" s="15" t="s">
        <v>852</v>
      </c>
      <c r="E46" s="15" t="s">
        <v>129</v>
      </c>
      <c r="F46" s="15" t="s">
        <v>111</v>
      </c>
      <c r="G46" s="15" t="s">
        <v>1549</v>
      </c>
      <c r="H46" s="15" t="s">
        <v>856</v>
      </c>
      <c r="I46" s="15" t="s">
        <v>281</v>
      </c>
      <c r="J46" s="15" t="s">
        <v>860</v>
      </c>
    </row>
    <row r="47" spans="1:10" ht="26" x14ac:dyDescent="0.25">
      <c r="A47" s="36" t="s">
        <v>862</v>
      </c>
      <c r="B47" s="15" t="s">
        <v>731</v>
      </c>
      <c r="C47" s="15" t="s">
        <v>863</v>
      </c>
      <c r="D47" s="15" t="s">
        <v>865</v>
      </c>
      <c r="E47" s="15" t="s">
        <v>129</v>
      </c>
      <c r="F47" s="15" t="s">
        <v>111</v>
      </c>
      <c r="G47" s="15" t="s">
        <v>1549</v>
      </c>
      <c r="H47" s="15" t="s">
        <v>870</v>
      </c>
      <c r="I47" s="15" t="s">
        <v>281</v>
      </c>
      <c r="J47" s="15" t="s">
        <v>873</v>
      </c>
    </row>
    <row r="48" spans="1:10" ht="26" x14ac:dyDescent="0.25">
      <c r="A48" s="36" t="s">
        <v>875</v>
      </c>
      <c r="B48" s="15" t="s">
        <v>772</v>
      </c>
      <c r="C48" s="15" t="s">
        <v>876</v>
      </c>
      <c r="D48" s="15" t="s">
        <v>877</v>
      </c>
      <c r="E48" s="15" t="s">
        <v>129</v>
      </c>
      <c r="F48" s="15" t="s">
        <v>170</v>
      </c>
      <c r="G48" s="15" t="s">
        <v>1549</v>
      </c>
      <c r="H48" s="15" t="s">
        <v>882</v>
      </c>
      <c r="I48" s="15" t="s">
        <v>883</v>
      </c>
      <c r="J48" s="15" t="s">
        <v>887</v>
      </c>
    </row>
    <row r="49" spans="1:10" ht="26" x14ac:dyDescent="0.25">
      <c r="A49" s="36" t="s">
        <v>889</v>
      </c>
      <c r="B49" s="15" t="s">
        <v>718</v>
      </c>
      <c r="C49" s="15" t="s">
        <v>890</v>
      </c>
      <c r="D49" s="15" t="s">
        <v>891</v>
      </c>
      <c r="E49" s="15" t="s">
        <v>129</v>
      </c>
      <c r="F49" s="15" t="s">
        <v>111</v>
      </c>
      <c r="G49" s="15" t="s">
        <v>1549</v>
      </c>
      <c r="H49" s="15" t="s">
        <v>896</v>
      </c>
      <c r="I49" s="15" t="s">
        <v>281</v>
      </c>
      <c r="J49" s="15" t="s">
        <v>900</v>
      </c>
    </row>
    <row r="50" spans="1:10" ht="39" x14ac:dyDescent="0.25">
      <c r="A50" s="36" t="s">
        <v>902</v>
      </c>
      <c r="B50" s="15" t="s">
        <v>718</v>
      </c>
      <c r="C50" s="15" t="s">
        <v>903</v>
      </c>
      <c r="D50" s="15" t="s">
        <v>904</v>
      </c>
      <c r="E50" s="15" t="s">
        <v>111</v>
      </c>
      <c r="F50" s="15" t="s">
        <v>129</v>
      </c>
      <c r="G50" s="15" t="s">
        <v>113</v>
      </c>
      <c r="H50" s="15" t="s">
        <v>908</v>
      </c>
      <c r="I50" s="15" t="s">
        <v>281</v>
      </c>
      <c r="J50" s="15" t="s">
        <v>912</v>
      </c>
    </row>
    <row r="51" spans="1:10" ht="26" x14ac:dyDescent="0.25">
      <c r="A51" s="36" t="s">
        <v>914</v>
      </c>
      <c r="B51" s="15" t="s">
        <v>593</v>
      </c>
      <c r="C51" s="15" t="s">
        <v>915</v>
      </c>
      <c r="D51" s="15" t="s">
        <v>917</v>
      </c>
      <c r="E51" s="15" t="s">
        <v>111</v>
      </c>
      <c r="F51" s="15" t="s">
        <v>163</v>
      </c>
      <c r="G51" s="15" t="s">
        <v>113</v>
      </c>
      <c r="H51" s="15" t="s">
        <v>921</v>
      </c>
      <c r="I51" s="15" t="s">
        <v>281</v>
      </c>
      <c r="J51" s="15" t="s">
        <v>925</v>
      </c>
    </row>
    <row r="52" spans="1:10" ht="39" x14ac:dyDescent="0.25">
      <c r="A52" s="36" t="s">
        <v>927</v>
      </c>
      <c r="B52" s="15" t="s">
        <v>800</v>
      </c>
      <c r="C52" s="15" t="s">
        <v>928</v>
      </c>
      <c r="D52" s="15" t="s">
        <v>929</v>
      </c>
      <c r="E52" s="15" t="s">
        <v>129</v>
      </c>
      <c r="F52" s="15" t="s">
        <v>170</v>
      </c>
      <c r="G52" s="15" t="s">
        <v>1549</v>
      </c>
      <c r="H52" s="15" t="s">
        <v>934</v>
      </c>
      <c r="I52" s="15" t="s">
        <v>281</v>
      </c>
      <c r="J52" s="15" t="s">
        <v>938</v>
      </c>
    </row>
    <row r="53" spans="1:10" ht="26" x14ac:dyDescent="0.25">
      <c r="A53" s="36" t="s">
        <v>940</v>
      </c>
      <c r="B53" s="15" t="s">
        <v>941</v>
      </c>
      <c r="C53" s="15" t="s">
        <v>942</v>
      </c>
      <c r="D53" s="15" t="s">
        <v>943</v>
      </c>
      <c r="E53" s="15" t="s">
        <v>170</v>
      </c>
      <c r="F53" s="15" t="s">
        <v>111</v>
      </c>
      <c r="G53" s="15" t="s">
        <v>1552</v>
      </c>
      <c r="H53" s="15" t="s">
        <v>947</v>
      </c>
      <c r="I53" s="15" t="s">
        <v>281</v>
      </c>
      <c r="J53" s="15" t="s">
        <v>950</v>
      </c>
    </row>
    <row r="54" spans="1:10" ht="26" x14ac:dyDescent="0.25">
      <c r="A54" s="36" t="s">
        <v>952</v>
      </c>
      <c r="B54" s="15" t="s">
        <v>731</v>
      </c>
      <c r="C54" s="15" t="s">
        <v>953</v>
      </c>
      <c r="D54" s="15" t="s">
        <v>815</v>
      </c>
      <c r="E54" s="15" t="s">
        <v>170</v>
      </c>
      <c r="F54" s="15" t="s">
        <v>179</v>
      </c>
      <c r="G54" s="15" t="s">
        <v>1552</v>
      </c>
      <c r="H54" s="15" t="s">
        <v>654</v>
      </c>
      <c r="I54" s="15" t="s">
        <v>281</v>
      </c>
      <c r="J54" s="15" t="s">
        <v>961</v>
      </c>
    </row>
    <row r="55" spans="1:10" ht="26" x14ac:dyDescent="0.25">
      <c r="A55" s="36" t="s">
        <v>963</v>
      </c>
      <c r="B55" s="15" t="s">
        <v>507</v>
      </c>
      <c r="C55" s="15" t="s">
        <v>964</v>
      </c>
      <c r="D55" s="15" t="s">
        <v>966</v>
      </c>
      <c r="E55" s="15" t="s">
        <v>170</v>
      </c>
      <c r="F55" s="15" t="s">
        <v>77</v>
      </c>
      <c r="G55" s="15" t="s">
        <v>1552</v>
      </c>
      <c r="H55" s="15" t="s">
        <v>971</v>
      </c>
      <c r="I55" s="15" t="s">
        <v>281</v>
      </c>
      <c r="J55" s="15" t="s">
        <v>975</v>
      </c>
    </row>
    <row r="56" spans="1:10" ht="26" x14ac:dyDescent="0.25">
      <c r="A56" s="36" t="s">
        <v>977</v>
      </c>
      <c r="B56" s="15" t="s">
        <v>731</v>
      </c>
      <c r="C56" s="15" t="s">
        <v>978</v>
      </c>
      <c r="D56" s="15" t="s">
        <v>979</v>
      </c>
      <c r="E56" s="15" t="s">
        <v>170</v>
      </c>
      <c r="F56" s="15" t="s">
        <v>111</v>
      </c>
      <c r="G56" s="15" t="s">
        <v>1552</v>
      </c>
      <c r="H56" s="15" t="s">
        <v>983</v>
      </c>
      <c r="I56" s="15" t="s">
        <v>281</v>
      </c>
      <c r="J56" s="15" t="s">
        <v>987</v>
      </c>
    </row>
    <row r="57" spans="1:10" ht="26" x14ac:dyDescent="0.25">
      <c r="A57" s="36" t="s">
        <v>989</v>
      </c>
      <c r="B57" s="15" t="s">
        <v>990</v>
      </c>
      <c r="C57" s="15" t="s">
        <v>991</v>
      </c>
      <c r="D57" s="15" t="s">
        <v>992</v>
      </c>
      <c r="E57" s="15" t="s">
        <v>129</v>
      </c>
      <c r="F57" s="15" t="s">
        <v>111</v>
      </c>
      <c r="G57" s="15" t="s">
        <v>1549</v>
      </c>
      <c r="H57" s="15" t="s">
        <v>996</v>
      </c>
      <c r="I57" s="15" t="s">
        <v>281</v>
      </c>
      <c r="J57" s="15" t="s">
        <v>1000</v>
      </c>
    </row>
    <row r="58" spans="1:10" ht="26" x14ac:dyDescent="0.25">
      <c r="A58" s="36" t="s">
        <v>1002</v>
      </c>
      <c r="B58" s="15" t="s">
        <v>1003</v>
      </c>
      <c r="C58" s="15" t="s">
        <v>1004</v>
      </c>
      <c r="D58" s="15" t="s">
        <v>1005</v>
      </c>
      <c r="E58" s="15" t="s">
        <v>163</v>
      </c>
      <c r="F58" s="15" t="s">
        <v>120</v>
      </c>
      <c r="G58" s="15" t="s">
        <v>1550</v>
      </c>
      <c r="H58" s="15" t="s">
        <v>1010</v>
      </c>
      <c r="I58" s="15" t="s">
        <v>281</v>
      </c>
      <c r="J58" s="15" t="s">
        <v>1014</v>
      </c>
    </row>
    <row r="59" spans="1:10" ht="26" x14ac:dyDescent="0.25">
      <c r="A59" s="36" t="s">
        <v>1016</v>
      </c>
      <c r="B59" s="15" t="s">
        <v>577</v>
      </c>
      <c r="C59" s="15" t="s">
        <v>1017</v>
      </c>
      <c r="D59" s="15" t="s">
        <v>1018</v>
      </c>
      <c r="E59" s="15" t="s">
        <v>51</v>
      </c>
      <c r="F59" s="15" t="s">
        <v>111</v>
      </c>
      <c r="G59" s="15" t="s">
        <v>53</v>
      </c>
      <c r="H59" s="15" t="s">
        <v>1023</v>
      </c>
      <c r="I59" s="15" t="s">
        <v>1024</v>
      </c>
      <c r="J59" s="15" t="s">
        <v>1028</v>
      </c>
    </row>
    <row r="60" spans="1:10" ht="26" x14ac:dyDescent="0.25">
      <c r="A60" s="36" t="s">
        <v>1030</v>
      </c>
      <c r="B60" s="15" t="s">
        <v>675</v>
      </c>
      <c r="C60" s="15" t="s">
        <v>1031</v>
      </c>
      <c r="D60" s="15" t="s">
        <v>758</v>
      </c>
      <c r="E60" s="15" t="s">
        <v>120</v>
      </c>
      <c r="F60" s="15" t="s">
        <v>129</v>
      </c>
      <c r="G60" s="15" t="s">
        <v>1553</v>
      </c>
      <c r="H60" s="15" t="s">
        <v>1036</v>
      </c>
      <c r="I60" s="15" t="s">
        <v>1037</v>
      </c>
      <c r="J60" s="15" t="s">
        <v>1040</v>
      </c>
    </row>
    <row r="61" spans="1:10" ht="26" x14ac:dyDescent="0.25">
      <c r="A61" s="36" t="s">
        <v>1042</v>
      </c>
      <c r="B61" s="15" t="s">
        <v>772</v>
      </c>
      <c r="C61" s="15" t="s">
        <v>1043</v>
      </c>
      <c r="D61" s="15" t="s">
        <v>1044</v>
      </c>
      <c r="E61" s="15" t="s">
        <v>120</v>
      </c>
      <c r="F61" s="15" t="s">
        <v>111</v>
      </c>
      <c r="G61" s="15" t="s">
        <v>1553</v>
      </c>
      <c r="H61" s="15" t="s">
        <v>1048</v>
      </c>
      <c r="I61" s="15" t="s">
        <v>281</v>
      </c>
      <c r="J61" s="15" t="s">
        <v>1052</v>
      </c>
    </row>
    <row r="62" spans="1:10" ht="26" x14ac:dyDescent="0.25">
      <c r="A62" s="36" t="s">
        <v>1054</v>
      </c>
      <c r="B62" s="15" t="s">
        <v>1055</v>
      </c>
      <c r="C62" s="15" t="s">
        <v>1056</v>
      </c>
      <c r="D62" s="15" t="s">
        <v>1057</v>
      </c>
      <c r="E62" s="15" t="s">
        <v>77</v>
      </c>
      <c r="F62" s="15" t="s">
        <v>111</v>
      </c>
      <c r="G62" s="15" t="s">
        <v>1553</v>
      </c>
      <c r="H62" s="15" t="s">
        <v>1061</v>
      </c>
      <c r="I62" s="15" t="s">
        <v>1062</v>
      </c>
      <c r="J62" s="15" t="s">
        <v>1066</v>
      </c>
    </row>
    <row r="63" spans="1:10" ht="26" x14ac:dyDescent="0.25">
      <c r="A63" s="36" t="s">
        <v>1068</v>
      </c>
      <c r="B63" s="15" t="s">
        <v>731</v>
      </c>
      <c r="C63" s="15" t="s">
        <v>1069</v>
      </c>
      <c r="D63" s="15" t="s">
        <v>1070</v>
      </c>
      <c r="E63" s="15" t="s">
        <v>179</v>
      </c>
      <c r="F63" s="15" t="s">
        <v>77</v>
      </c>
      <c r="G63" s="15" t="s">
        <v>1551</v>
      </c>
      <c r="H63" s="15" t="s">
        <v>1075</v>
      </c>
      <c r="I63" s="15" t="s">
        <v>1076</v>
      </c>
      <c r="J63" s="15" t="s">
        <v>1080</v>
      </c>
    </row>
    <row r="64" spans="1:10" ht="39" x14ac:dyDescent="0.25">
      <c r="A64" s="36" t="s">
        <v>1082</v>
      </c>
      <c r="B64" s="15" t="s">
        <v>772</v>
      </c>
      <c r="C64" s="15" t="s">
        <v>1083</v>
      </c>
      <c r="D64" s="15" t="s">
        <v>1084</v>
      </c>
      <c r="E64" s="15" t="s">
        <v>77</v>
      </c>
      <c r="F64" s="15" t="s">
        <v>120</v>
      </c>
      <c r="G64" s="15" t="s">
        <v>1553</v>
      </c>
      <c r="H64" s="15" t="s">
        <v>1089</v>
      </c>
      <c r="I64" s="15" t="s">
        <v>1090</v>
      </c>
      <c r="J64" s="15" t="s">
        <v>1094</v>
      </c>
    </row>
  </sheetData>
  <mergeCells count="2">
    <mergeCell ref="A1:J1"/>
    <mergeCell ref="A2:J2"/>
  </mergeCells>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20"/>
  <sheetViews>
    <sheetView zoomScaleNormal="100" workbookViewId="0">
      <selection sqref="A1:X1"/>
    </sheetView>
  </sheetViews>
  <sheetFormatPr defaultColWidth="8.6328125" defaultRowHeight="14.5" x14ac:dyDescent="0.35"/>
  <cols>
    <col min="1" max="1" width="11" style="12" customWidth="1"/>
    <col min="2" max="2" width="28" style="12" customWidth="1"/>
    <col min="3" max="3" width="22" style="12" customWidth="1"/>
    <col min="4" max="4" width="30" style="12" customWidth="1"/>
    <col min="5" max="5" width="36" style="12" customWidth="1"/>
    <col min="6" max="6" width="38" style="12" customWidth="1"/>
    <col min="7" max="7" width="48" style="12" customWidth="1"/>
    <col min="8" max="8" width="24" style="12" customWidth="1"/>
    <col min="9" max="9" width="30" style="12" customWidth="1"/>
    <col min="10" max="10" width="28" style="12" customWidth="1"/>
    <col min="11" max="11" width="24" style="12" customWidth="1"/>
    <col min="12" max="13" width="28" style="12" customWidth="1"/>
    <col min="14" max="14" width="18" style="12" customWidth="1"/>
    <col min="15" max="15" width="20" style="12" customWidth="1"/>
    <col min="16" max="16" width="18" style="12" customWidth="1"/>
    <col min="17" max="17" width="28" style="12" customWidth="1"/>
    <col min="18" max="18" width="50" style="12" customWidth="1"/>
    <col min="19" max="19" width="38" style="12" customWidth="1"/>
    <col min="20" max="21" width="34" style="12" customWidth="1"/>
    <col min="22" max="22" width="28" style="12" customWidth="1"/>
    <col min="23" max="23" width="38" style="12" customWidth="1"/>
    <col min="24" max="24" width="16" style="12" customWidth="1"/>
  </cols>
  <sheetData>
    <row r="1" spans="1:24" ht="20.9" customHeight="1" x14ac:dyDescent="0.25">
      <c r="A1" s="6" t="s">
        <v>1554</v>
      </c>
      <c r="B1" s="6"/>
      <c r="C1" s="6"/>
      <c r="D1" s="6"/>
      <c r="E1" s="6"/>
      <c r="F1" s="6"/>
      <c r="G1" s="6"/>
      <c r="H1" s="6"/>
      <c r="I1" s="6"/>
      <c r="J1" s="6"/>
      <c r="K1" s="6"/>
      <c r="L1" s="6"/>
      <c r="M1" s="6"/>
      <c r="N1" s="6"/>
      <c r="O1" s="6"/>
      <c r="P1" s="6"/>
      <c r="Q1" s="6"/>
      <c r="R1" s="6"/>
      <c r="S1" s="6"/>
      <c r="T1" s="6"/>
      <c r="U1" s="6"/>
      <c r="V1" s="6"/>
      <c r="W1" s="6"/>
      <c r="X1" s="6"/>
    </row>
    <row r="2" spans="1:24" ht="15" customHeight="1" x14ac:dyDescent="0.35">
      <c r="A2" s="5" t="s">
        <v>1555</v>
      </c>
      <c r="B2" s="5"/>
      <c r="C2" s="5"/>
      <c r="D2" s="5"/>
      <c r="E2" s="5"/>
      <c r="F2" s="5"/>
      <c r="G2" s="5"/>
      <c r="H2" s="5"/>
      <c r="I2" s="5"/>
      <c r="J2" s="5"/>
      <c r="K2" s="5"/>
      <c r="L2" s="5"/>
      <c r="M2" s="5"/>
      <c r="N2" s="5"/>
      <c r="O2" s="5"/>
      <c r="P2" s="5"/>
      <c r="Q2" s="5"/>
      <c r="R2" s="5"/>
      <c r="S2" s="5"/>
      <c r="T2" s="5"/>
      <c r="U2" s="5"/>
      <c r="V2" s="5"/>
      <c r="W2" s="5"/>
      <c r="X2" s="5"/>
    </row>
    <row r="4" spans="1:24" x14ac:dyDescent="0.25">
      <c r="A4" s="14" t="s">
        <v>1556</v>
      </c>
      <c r="B4" s="14" t="s">
        <v>3</v>
      </c>
      <c r="C4" s="14" t="s">
        <v>1557</v>
      </c>
      <c r="D4" s="14" t="s">
        <v>1558</v>
      </c>
      <c r="E4" s="14" t="s">
        <v>1559</v>
      </c>
      <c r="F4" s="14" t="s">
        <v>250</v>
      </c>
      <c r="G4" s="14" t="s">
        <v>1560</v>
      </c>
      <c r="H4" s="14" t="s">
        <v>1561</v>
      </c>
      <c r="I4" s="14" t="s">
        <v>1562</v>
      </c>
      <c r="J4" s="14" t="s">
        <v>1563</v>
      </c>
      <c r="K4" s="14" t="s">
        <v>201</v>
      </c>
      <c r="L4" s="14" t="s">
        <v>1564</v>
      </c>
      <c r="M4" s="14" t="s">
        <v>1565</v>
      </c>
      <c r="N4" s="14" t="s">
        <v>1566</v>
      </c>
      <c r="O4" s="14" t="s">
        <v>217</v>
      </c>
      <c r="P4" s="14" t="s">
        <v>48</v>
      </c>
      <c r="Q4" s="14" t="s">
        <v>1567</v>
      </c>
      <c r="R4" s="14" t="s">
        <v>1568</v>
      </c>
      <c r="S4" s="14" t="s">
        <v>1569</v>
      </c>
      <c r="T4" s="14" t="s">
        <v>1570</v>
      </c>
      <c r="U4" s="14" t="s">
        <v>1571</v>
      </c>
      <c r="V4" s="14" t="s">
        <v>1572</v>
      </c>
      <c r="W4" s="14" t="s">
        <v>1573</v>
      </c>
      <c r="X4" s="14" t="s">
        <v>1574</v>
      </c>
    </row>
    <row r="5" spans="1:24" ht="78" customHeight="1" x14ac:dyDescent="0.25">
      <c r="A5" s="36" t="s">
        <v>51</v>
      </c>
      <c r="B5" s="36" t="s">
        <v>52</v>
      </c>
      <c r="C5" s="15" t="s">
        <v>53</v>
      </c>
      <c r="D5" s="15" t="s">
        <v>1575</v>
      </c>
      <c r="E5" s="15" t="s">
        <v>1576</v>
      </c>
      <c r="F5" s="15" t="s">
        <v>1577</v>
      </c>
      <c r="G5" s="15" t="s">
        <v>1578</v>
      </c>
      <c r="H5" s="15" t="s">
        <v>1579</v>
      </c>
      <c r="I5" s="15" t="s">
        <v>1580</v>
      </c>
      <c r="J5" s="15" t="s">
        <v>1581</v>
      </c>
      <c r="K5" s="15" t="s">
        <v>1582</v>
      </c>
      <c r="L5" s="15" t="s">
        <v>1583</v>
      </c>
      <c r="M5" s="15" t="s">
        <v>1584</v>
      </c>
      <c r="N5" s="15" t="s">
        <v>1585</v>
      </c>
      <c r="O5" s="15" t="s">
        <v>1586</v>
      </c>
      <c r="P5" s="15" t="s">
        <v>58</v>
      </c>
      <c r="Q5" s="15" t="s">
        <v>1587</v>
      </c>
      <c r="R5" s="15" t="s">
        <v>1588</v>
      </c>
      <c r="S5" s="15" t="s">
        <v>1589</v>
      </c>
      <c r="T5" s="15" t="s">
        <v>1590</v>
      </c>
      <c r="U5" s="15" t="s">
        <v>1591</v>
      </c>
      <c r="V5" s="15" t="s">
        <v>1592</v>
      </c>
      <c r="W5" s="15" t="s">
        <v>1593</v>
      </c>
      <c r="X5" s="15" t="s">
        <v>1594</v>
      </c>
    </row>
    <row r="6" spans="1:24" ht="78" customHeight="1" x14ac:dyDescent="0.25">
      <c r="A6" s="36" t="s">
        <v>60</v>
      </c>
      <c r="B6" s="36" t="s">
        <v>61</v>
      </c>
      <c r="C6" s="15" t="s">
        <v>62</v>
      </c>
      <c r="D6" s="15" t="s">
        <v>1595</v>
      </c>
      <c r="E6" s="15" t="s">
        <v>1596</v>
      </c>
      <c r="F6" s="15" t="s">
        <v>1597</v>
      </c>
      <c r="G6" s="15" t="s">
        <v>1598</v>
      </c>
      <c r="H6" s="15" t="s">
        <v>1599</v>
      </c>
      <c r="I6" s="15" t="s">
        <v>1600</v>
      </c>
      <c r="J6" s="15" t="s">
        <v>1601</v>
      </c>
      <c r="K6" s="15" t="s">
        <v>1602</v>
      </c>
      <c r="L6" s="15" t="s">
        <v>1603</v>
      </c>
      <c r="M6" s="15" t="s">
        <v>1604</v>
      </c>
      <c r="N6" s="15" t="s">
        <v>1605</v>
      </c>
      <c r="O6" s="15" t="s">
        <v>1606</v>
      </c>
      <c r="P6" s="15" t="s">
        <v>1607</v>
      </c>
      <c r="Q6" s="15" t="s">
        <v>1608</v>
      </c>
      <c r="R6" s="15" t="s">
        <v>1609</v>
      </c>
      <c r="S6" s="15" t="s">
        <v>1610</v>
      </c>
      <c r="T6" s="15" t="s">
        <v>1611</v>
      </c>
      <c r="U6" s="15" t="s">
        <v>1612</v>
      </c>
      <c r="V6" s="15" t="s">
        <v>1613</v>
      </c>
      <c r="W6" s="15" t="s">
        <v>1614</v>
      </c>
      <c r="X6" s="15" t="s">
        <v>1594</v>
      </c>
    </row>
    <row r="7" spans="1:24" ht="78" customHeight="1" x14ac:dyDescent="0.25">
      <c r="A7" s="36" t="s">
        <v>69</v>
      </c>
      <c r="B7" s="36" t="s">
        <v>70</v>
      </c>
      <c r="C7" s="15" t="s">
        <v>62</v>
      </c>
      <c r="D7" s="15" t="s">
        <v>1615</v>
      </c>
      <c r="E7" s="15" t="s">
        <v>1616</v>
      </c>
      <c r="F7" s="15" t="s">
        <v>1617</v>
      </c>
      <c r="G7" s="15" t="s">
        <v>1618</v>
      </c>
      <c r="H7" s="15" t="s">
        <v>1619</v>
      </c>
      <c r="I7" s="15" t="s">
        <v>1620</v>
      </c>
      <c r="J7" s="15" t="s">
        <v>1621</v>
      </c>
      <c r="K7" s="15" t="s">
        <v>1622</v>
      </c>
      <c r="L7" s="15" t="s">
        <v>1623</v>
      </c>
      <c r="M7" s="15" t="s">
        <v>1624</v>
      </c>
      <c r="N7" s="15" t="s">
        <v>1625</v>
      </c>
      <c r="O7" s="15" t="s">
        <v>1626</v>
      </c>
      <c r="P7" s="15" t="s">
        <v>1627</v>
      </c>
      <c r="Q7" s="15" t="s">
        <v>1628</v>
      </c>
      <c r="R7" s="15" t="s">
        <v>1629</v>
      </c>
      <c r="S7" s="15" t="s">
        <v>1630</v>
      </c>
      <c r="T7" s="15" t="s">
        <v>1631</v>
      </c>
      <c r="U7" s="15" t="s">
        <v>1632</v>
      </c>
      <c r="V7" s="15" t="s">
        <v>1633</v>
      </c>
      <c r="W7" s="15" t="s">
        <v>1634</v>
      </c>
      <c r="X7" s="15" t="s">
        <v>1594</v>
      </c>
    </row>
    <row r="8" spans="1:24" ht="78" customHeight="1" x14ac:dyDescent="0.25">
      <c r="A8" s="36" t="s">
        <v>77</v>
      </c>
      <c r="B8" s="36" t="s">
        <v>78</v>
      </c>
      <c r="C8" s="15" t="s">
        <v>122</v>
      </c>
      <c r="D8" s="15" t="s">
        <v>1635</v>
      </c>
      <c r="E8" s="15" t="s">
        <v>1636</v>
      </c>
      <c r="F8" s="15" t="s">
        <v>1637</v>
      </c>
      <c r="G8" s="15" t="s">
        <v>1638</v>
      </c>
      <c r="H8" s="15" t="s">
        <v>1639</v>
      </c>
      <c r="I8" s="15" t="s">
        <v>1640</v>
      </c>
      <c r="J8" s="15" t="s">
        <v>1641</v>
      </c>
      <c r="K8" s="15" t="s">
        <v>1642</v>
      </c>
      <c r="L8" s="15" t="s">
        <v>1643</v>
      </c>
      <c r="M8" s="15" t="s">
        <v>1644</v>
      </c>
      <c r="N8" s="15" t="s">
        <v>1645</v>
      </c>
      <c r="O8" s="15" t="s">
        <v>1646</v>
      </c>
      <c r="P8" s="15" t="s">
        <v>1647</v>
      </c>
      <c r="Q8" s="15" t="s">
        <v>1648</v>
      </c>
      <c r="R8" s="15" t="s">
        <v>1649</v>
      </c>
      <c r="S8" s="15" t="s">
        <v>1650</v>
      </c>
      <c r="T8" s="15" t="s">
        <v>1651</v>
      </c>
      <c r="U8" s="15" t="s">
        <v>1652</v>
      </c>
      <c r="V8" s="15" t="s">
        <v>1653</v>
      </c>
      <c r="W8" s="15" t="s">
        <v>1654</v>
      </c>
      <c r="X8" s="15" t="s">
        <v>1594</v>
      </c>
    </row>
    <row r="9" spans="1:24" ht="78" customHeight="1" x14ac:dyDescent="0.25">
      <c r="A9" s="36" t="s">
        <v>85</v>
      </c>
      <c r="B9" s="36" t="s">
        <v>86</v>
      </c>
      <c r="C9" s="15" t="s">
        <v>87</v>
      </c>
      <c r="D9" s="15" t="s">
        <v>1655</v>
      </c>
      <c r="E9" s="15" t="s">
        <v>1656</v>
      </c>
      <c r="F9" s="15" t="s">
        <v>1657</v>
      </c>
      <c r="G9" s="15" t="s">
        <v>1658</v>
      </c>
      <c r="H9" s="15" t="s">
        <v>1659</v>
      </c>
      <c r="I9" s="15" t="s">
        <v>1660</v>
      </c>
      <c r="J9" s="15" t="s">
        <v>1661</v>
      </c>
      <c r="K9" s="15" t="s">
        <v>1662</v>
      </c>
      <c r="L9" s="15" t="s">
        <v>1663</v>
      </c>
      <c r="M9" s="15" t="s">
        <v>1664</v>
      </c>
      <c r="N9" s="15" t="s">
        <v>1665</v>
      </c>
      <c r="O9" s="15" t="s">
        <v>1666</v>
      </c>
      <c r="P9" s="15" t="s">
        <v>1667</v>
      </c>
      <c r="Q9" s="15" t="s">
        <v>1668</v>
      </c>
      <c r="R9" s="15" t="s">
        <v>1669</v>
      </c>
      <c r="S9" s="15" t="s">
        <v>1670</v>
      </c>
      <c r="T9" s="15" t="s">
        <v>1671</v>
      </c>
      <c r="U9" s="15" t="s">
        <v>1672</v>
      </c>
      <c r="V9" s="15" t="s">
        <v>1673</v>
      </c>
      <c r="W9" s="15" t="s">
        <v>1674</v>
      </c>
      <c r="X9" s="15" t="s">
        <v>1594</v>
      </c>
    </row>
    <row r="10" spans="1:24" ht="78" customHeight="1" x14ac:dyDescent="0.25">
      <c r="A10" s="36" t="s">
        <v>94</v>
      </c>
      <c r="B10" s="36" t="s">
        <v>95</v>
      </c>
      <c r="C10" s="15" t="s">
        <v>87</v>
      </c>
      <c r="D10" s="15" t="s">
        <v>1675</v>
      </c>
      <c r="E10" s="15" t="s">
        <v>1676</v>
      </c>
      <c r="F10" s="15" t="s">
        <v>1677</v>
      </c>
      <c r="G10" s="15" t="s">
        <v>1678</v>
      </c>
      <c r="H10" s="15" t="s">
        <v>1679</v>
      </c>
      <c r="I10" s="15" t="s">
        <v>1680</v>
      </c>
      <c r="J10" s="15" t="s">
        <v>1681</v>
      </c>
      <c r="K10" s="15" t="s">
        <v>1682</v>
      </c>
      <c r="L10" s="15" t="s">
        <v>1683</v>
      </c>
      <c r="M10" s="15" t="s">
        <v>1684</v>
      </c>
      <c r="N10" s="15" t="s">
        <v>1685</v>
      </c>
      <c r="O10" s="15" t="s">
        <v>1686</v>
      </c>
      <c r="P10" s="15" t="s">
        <v>1687</v>
      </c>
      <c r="Q10" s="15" t="s">
        <v>1688</v>
      </c>
      <c r="R10" s="15" t="s">
        <v>1689</v>
      </c>
      <c r="S10" s="15" t="s">
        <v>1690</v>
      </c>
      <c r="T10" s="15" t="s">
        <v>1691</v>
      </c>
      <c r="U10" s="15" t="s">
        <v>1692</v>
      </c>
      <c r="V10" s="15" t="s">
        <v>1693</v>
      </c>
      <c r="W10" s="15" t="s">
        <v>1694</v>
      </c>
      <c r="X10" s="15" t="s">
        <v>1594</v>
      </c>
    </row>
    <row r="11" spans="1:24" ht="78" customHeight="1" x14ac:dyDescent="0.25">
      <c r="A11" s="36" t="s">
        <v>102</v>
      </c>
      <c r="B11" s="36" t="s">
        <v>103</v>
      </c>
      <c r="C11" s="15" t="s">
        <v>104</v>
      </c>
      <c r="D11" s="15" t="s">
        <v>1695</v>
      </c>
      <c r="E11" s="15" t="s">
        <v>1696</v>
      </c>
      <c r="F11" s="15" t="s">
        <v>1697</v>
      </c>
      <c r="G11" s="15" t="s">
        <v>1698</v>
      </c>
      <c r="H11" s="15" t="s">
        <v>1699</v>
      </c>
      <c r="I11" s="15" t="s">
        <v>1700</v>
      </c>
      <c r="J11" s="15" t="s">
        <v>1701</v>
      </c>
      <c r="K11" s="15" t="s">
        <v>1702</v>
      </c>
      <c r="L11" s="15" t="s">
        <v>1703</v>
      </c>
      <c r="M11" s="15" t="s">
        <v>1704</v>
      </c>
      <c r="N11" s="15" t="s">
        <v>1705</v>
      </c>
      <c r="O11" s="15" t="s">
        <v>1706</v>
      </c>
      <c r="P11" s="15" t="s">
        <v>1707</v>
      </c>
      <c r="Q11" s="15" t="s">
        <v>1708</v>
      </c>
      <c r="R11" s="15" t="s">
        <v>1709</v>
      </c>
      <c r="S11" s="15" t="s">
        <v>1710</v>
      </c>
      <c r="T11" s="15" t="s">
        <v>1711</v>
      </c>
      <c r="U11" s="15" t="s">
        <v>1712</v>
      </c>
      <c r="V11" s="15" t="s">
        <v>1713</v>
      </c>
      <c r="W11" s="15" t="s">
        <v>1714</v>
      </c>
      <c r="X11" s="15" t="s">
        <v>1594</v>
      </c>
    </row>
    <row r="12" spans="1:24" ht="78" customHeight="1" x14ac:dyDescent="0.25">
      <c r="A12" s="36" t="s">
        <v>111</v>
      </c>
      <c r="B12" s="36" t="s">
        <v>112</v>
      </c>
      <c r="C12" s="15" t="s">
        <v>113</v>
      </c>
      <c r="D12" s="15" t="s">
        <v>1715</v>
      </c>
      <c r="E12" s="15" t="s">
        <v>1716</v>
      </c>
      <c r="F12" s="15" t="s">
        <v>1717</v>
      </c>
      <c r="G12" s="15" t="s">
        <v>1718</v>
      </c>
      <c r="H12" s="15" t="s">
        <v>117</v>
      </c>
      <c r="I12" s="15" t="s">
        <v>1719</v>
      </c>
      <c r="J12" s="15" t="s">
        <v>1720</v>
      </c>
      <c r="K12" s="15" t="s">
        <v>1721</v>
      </c>
      <c r="L12" s="15" t="s">
        <v>1722</v>
      </c>
      <c r="M12" s="15" t="s">
        <v>1723</v>
      </c>
      <c r="N12" s="15" t="s">
        <v>1645</v>
      </c>
      <c r="O12" s="15" t="s">
        <v>1724</v>
      </c>
      <c r="P12" s="15" t="s">
        <v>1725</v>
      </c>
      <c r="Q12" s="15" t="s">
        <v>1726</v>
      </c>
      <c r="R12" s="15" t="s">
        <v>1727</v>
      </c>
      <c r="S12" s="15" t="s">
        <v>1728</v>
      </c>
      <c r="T12" s="15" t="s">
        <v>1729</v>
      </c>
      <c r="U12" s="15" t="s">
        <v>1730</v>
      </c>
      <c r="V12" s="15" t="s">
        <v>1731</v>
      </c>
      <c r="W12" s="15" t="s">
        <v>1732</v>
      </c>
      <c r="X12" s="15" t="s">
        <v>1594</v>
      </c>
    </row>
    <row r="13" spans="1:24" ht="78" customHeight="1" x14ac:dyDescent="0.25">
      <c r="A13" s="36" t="s">
        <v>120</v>
      </c>
      <c r="B13" s="36" t="s">
        <v>121</v>
      </c>
      <c r="C13" s="15" t="s">
        <v>122</v>
      </c>
      <c r="D13" s="15" t="s">
        <v>1733</v>
      </c>
      <c r="E13" s="15" t="s">
        <v>1734</v>
      </c>
      <c r="F13" s="15" t="s">
        <v>1735</v>
      </c>
      <c r="G13" s="15" t="s">
        <v>1736</v>
      </c>
      <c r="H13" s="15" t="s">
        <v>1737</v>
      </c>
      <c r="I13" s="15" t="s">
        <v>1738</v>
      </c>
      <c r="J13" s="15" t="s">
        <v>1739</v>
      </c>
      <c r="K13" s="15" t="s">
        <v>1740</v>
      </c>
      <c r="L13" s="15" t="s">
        <v>1741</v>
      </c>
      <c r="M13" s="15" t="s">
        <v>1742</v>
      </c>
      <c r="N13" s="15" t="s">
        <v>1743</v>
      </c>
      <c r="O13" s="15" t="s">
        <v>1744</v>
      </c>
      <c r="P13" s="15" t="s">
        <v>1745</v>
      </c>
      <c r="Q13" s="15" t="s">
        <v>1746</v>
      </c>
      <c r="R13" s="15" t="s">
        <v>1747</v>
      </c>
      <c r="S13" s="15" t="s">
        <v>1748</v>
      </c>
      <c r="T13" s="15" t="s">
        <v>1749</v>
      </c>
      <c r="U13" s="15" t="s">
        <v>1750</v>
      </c>
      <c r="V13" s="15" t="s">
        <v>1751</v>
      </c>
      <c r="W13" s="15" t="s">
        <v>1752</v>
      </c>
      <c r="X13" s="15" t="s">
        <v>1594</v>
      </c>
    </row>
    <row r="14" spans="1:24" ht="78" customHeight="1" x14ac:dyDescent="0.25">
      <c r="A14" s="36" t="s">
        <v>129</v>
      </c>
      <c r="B14" s="36" t="s">
        <v>130</v>
      </c>
      <c r="C14" s="15" t="s">
        <v>131</v>
      </c>
      <c r="D14" s="15" t="s">
        <v>1753</v>
      </c>
      <c r="E14" s="15" t="s">
        <v>1754</v>
      </c>
      <c r="F14" s="15" t="s">
        <v>1755</v>
      </c>
      <c r="G14" s="15" t="s">
        <v>1756</v>
      </c>
      <c r="H14" s="15" t="s">
        <v>1757</v>
      </c>
      <c r="I14" s="15" t="s">
        <v>1758</v>
      </c>
      <c r="J14" s="15" t="s">
        <v>1759</v>
      </c>
      <c r="K14" s="15" t="s">
        <v>1760</v>
      </c>
      <c r="L14" s="15" t="s">
        <v>1761</v>
      </c>
      <c r="M14" s="15" t="s">
        <v>1762</v>
      </c>
      <c r="N14" s="15" t="s">
        <v>1763</v>
      </c>
      <c r="O14" s="15" t="s">
        <v>1764</v>
      </c>
      <c r="P14" s="15" t="s">
        <v>1765</v>
      </c>
      <c r="Q14" s="15" t="s">
        <v>1766</v>
      </c>
      <c r="R14" s="15" t="s">
        <v>1767</v>
      </c>
      <c r="S14" s="15" t="s">
        <v>1768</v>
      </c>
      <c r="T14" s="15" t="s">
        <v>1769</v>
      </c>
      <c r="U14" s="15" t="s">
        <v>1770</v>
      </c>
      <c r="V14" s="15" t="s">
        <v>1771</v>
      </c>
      <c r="W14" s="15" t="s">
        <v>1772</v>
      </c>
      <c r="X14" s="15" t="s">
        <v>1594</v>
      </c>
    </row>
    <row r="15" spans="1:24" ht="78" customHeight="1" x14ac:dyDescent="0.25">
      <c r="A15" s="36" t="s">
        <v>138</v>
      </c>
      <c r="B15" s="36" t="s">
        <v>139</v>
      </c>
      <c r="C15" s="15" t="s">
        <v>113</v>
      </c>
      <c r="D15" s="15" t="s">
        <v>1773</v>
      </c>
      <c r="E15" s="15" t="s">
        <v>1774</v>
      </c>
      <c r="F15" s="15" t="s">
        <v>1775</v>
      </c>
      <c r="G15" s="15" t="s">
        <v>1776</v>
      </c>
      <c r="H15" s="15" t="s">
        <v>1777</v>
      </c>
      <c r="I15" s="15" t="s">
        <v>1778</v>
      </c>
      <c r="J15" s="15" t="s">
        <v>1779</v>
      </c>
      <c r="K15" s="15" t="s">
        <v>1780</v>
      </c>
      <c r="L15" s="15" t="s">
        <v>1781</v>
      </c>
      <c r="M15" s="15" t="s">
        <v>1782</v>
      </c>
      <c r="N15" s="15" t="s">
        <v>1783</v>
      </c>
      <c r="O15" s="15" t="s">
        <v>1784</v>
      </c>
      <c r="P15" s="15" t="s">
        <v>1785</v>
      </c>
      <c r="Q15" s="15" t="s">
        <v>1786</v>
      </c>
      <c r="R15" s="15" t="s">
        <v>1787</v>
      </c>
      <c r="S15" s="15" t="s">
        <v>1788</v>
      </c>
      <c r="T15" s="15" t="s">
        <v>1789</v>
      </c>
      <c r="U15" s="15" t="s">
        <v>1790</v>
      </c>
      <c r="V15" s="15" t="s">
        <v>1791</v>
      </c>
      <c r="W15" s="15" t="s">
        <v>1792</v>
      </c>
      <c r="X15" s="15" t="s">
        <v>1793</v>
      </c>
    </row>
    <row r="16" spans="1:24" ht="78" customHeight="1" x14ac:dyDescent="0.25">
      <c r="A16" s="36" t="s">
        <v>146</v>
      </c>
      <c r="B16" s="36" t="s">
        <v>147</v>
      </c>
      <c r="C16" s="15" t="s">
        <v>148</v>
      </c>
      <c r="D16" s="15" t="s">
        <v>1794</v>
      </c>
      <c r="E16" s="15" t="s">
        <v>1795</v>
      </c>
      <c r="F16" s="15" t="s">
        <v>1796</v>
      </c>
      <c r="G16" s="15" t="s">
        <v>1797</v>
      </c>
      <c r="H16" s="15" t="s">
        <v>1798</v>
      </c>
      <c r="I16" s="15" t="s">
        <v>1799</v>
      </c>
      <c r="J16" s="15" t="s">
        <v>1800</v>
      </c>
      <c r="K16" s="15" t="s">
        <v>1801</v>
      </c>
      <c r="L16" s="15" t="s">
        <v>1802</v>
      </c>
      <c r="M16" s="15" t="s">
        <v>1803</v>
      </c>
      <c r="N16" s="15" t="s">
        <v>1804</v>
      </c>
      <c r="O16" s="15" t="s">
        <v>1805</v>
      </c>
      <c r="P16" s="15" t="s">
        <v>1806</v>
      </c>
      <c r="Q16" s="15" t="s">
        <v>1807</v>
      </c>
      <c r="R16" s="15" t="s">
        <v>1808</v>
      </c>
      <c r="S16" s="15" t="s">
        <v>1809</v>
      </c>
      <c r="T16" s="15" t="s">
        <v>1810</v>
      </c>
      <c r="U16" s="15" t="s">
        <v>1811</v>
      </c>
      <c r="V16" s="15" t="s">
        <v>1812</v>
      </c>
      <c r="W16" s="15" t="s">
        <v>1813</v>
      </c>
      <c r="X16" s="15" t="s">
        <v>1814</v>
      </c>
    </row>
    <row r="17" spans="1:24" ht="78" customHeight="1" x14ac:dyDescent="0.25">
      <c r="A17" s="36" t="s">
        <v>155</v>
      </c>
      <c r="B17" s="36" t="s">
        <v>156</v>
      </c>
      <c r="C17" s="15" t="s">
        <v>157</v>
      </c>
      <c r="D17" s="15" t="s">
        <v>1815</v>
      </c>
      <c r="E17" s="15" t="s">
        <v>1816</v>
      </c>
      <c r="F17" s="15" t="s">
        <v>1817</v>
      </c>
      <c r="G17" s="15" t="s">
        <v>1818</v>
      </c>
      <c r="H17" s="15" t="s">
        <v>1819</v>
      </c>
      <c r="I17" s="15" t="s">
        <v>1820</v>
      </c>
      <c r="J17" s="15" t="s">
        <v>1821</v>
      </c>
      <c r="K17" s="15" t="s">
        <v>1822</v>
      </c>
      <c r="L17" s="15" t="s">
        <v>1823</v>
      </c>
      <c r="M17" s="15" t="s">
        <v>1824</v>
      </c>
      <c r="N17" s="15" t="s">
        <v>1825</v>
      </c>
      <c r="O17" s="15" t="s">
        <v>1826</v>
      </c>
      <c r="P17" s="15" t="s">
        <v>1725</v>
      </c>
      <c r="Q17" s="15" t="s">
        <v>1827</v>
      </c>
      <c r="R17" s="15" t="s">
        <v>1828</v>
      </c>
      <c r="S17" s="15" t="s">
        <v>1829</v>
      </c>
      <c r="T17" s="15" t="s">
        <v>1830</v>
      </c>
      <c r="U17" s="15" t="s">
        <v>1831</v>
      </c>
      <c r="V17" s="15" t="s">
        <v>1832</v>
      </c>
      <c r="W17" s="15" t="s">
        <v>1833</v>
      </c>
      <c r="X17" s="15" t="s">
        <v>1814</v>
      </c>
    </row>
    <row r="18" spans="1:24" ht="78" customHeight="1" x14ac:dyDescent="0.25">
      <c r="A18" s="36" t="s">
        <v>163</v>
      </c>
      <c r="B18" s="36" t="s">
        <v>164</v>
      </c>
      <c r="C18" s="15" t="s">
        <v>157</v>
      </c>
      <c r="D18" s="15" t="s">
        <v>1834</v>
      </c>
      <c r="E18" s="15" t="s">
        <v>1835</v>
      </c>
      <c r="F18" s="15" t="s">
        <v>1836</v>
      </c>
      <c r="G18" s="15" t="s">
        <v>1837</v>
      </c>
      <c r="H18" s="15" t="s">
        <v>1838</v>
      </c>
      <c r="I18" s="15" t="s">
        <v>1839</v>
      </c>
      <c r="J18" s="15" t="s">
        <v>1840</v>
      </c>
      <c r="K18" s="15" t="s">
        <v>1841</v>
      </c>
      <c r="L18" s="15" t="s">
        <v>1842</v>
      </c>
      <c r="M18" s="15" t="s">
        <v>1843</v>
      </c>
      <c r="N18" s="15" t="s">
        <v>1844</v>
      </c>
      <c r="O18" s="15" t="s">
        <v>1845</v>
      </c>
      <c r="P18" s="15" t="s">
        <v>1725</v>
      </c>
      <c r="Q18" s="15" t="s">
        <v>1846</v>
      </c>
      <c r="R18" s="15" t="s">
        <v>1847</v>
      </c>
      <c r="S18" s="15" t="s">
        <v>1848</v>
      </c>
      <c r="T18" s="15" t="s">
        <v>1849</v>
      </c>
      <c r="U18" s="15" t="s">
        <v>1850</v>
      </c>
      <c r="V18" s="15" t="s">
        <v>1653</v>
      </c>
      <c r="W18" s="15" t="s">
        <v>1851</v>
      </c>
      <c r="X18" s="15" t="s">
        <v>1594</v>
      </c>
    </row>
    <row r="19" spans="1:24" ht="78" customHeight="1" x14ac:dyDescent="0.25">
      <c r="A19" s="36" t="s">
        <v>170</v>
      </c>
      <c r="B19" s="36" t="s">
        <v>171</v>
      </c>
      <c r="C19" s="15" t="s">
        <v>172</v>
      </c>
      <c r="D19" s="15" t="s">
        <v>1852</v>
      </c>
      <c r="E19" s="15" t="s">
        <v>1853</v>
      </c>
      <c r="F19" s="15" t="s">
        <v>1854</v>
      </c>
      <c r="G19" s="15" t="s">
        <v>1855</v>
      </c>
      <c r="H19" s="15" t="s">
        <v>1856</v>
      </c>
      <c r="I19" s="15" t="s">
        <v>1857</v>
      </c>
      <c r="J19" s="15" t="s">
        <v>1858</v>
      </c>
      <c r="K19" s="15" t="s">
        <v>1859</v>
      </c>
      <c r="L19" s="15" t="s">
        <v>1860</v>
      </c>
      <c r="M19" s="15" t="s">
        <v>1861</v>
      </c>
      <c r="N19" s="15" t="s">
        <v>1862</v>
      </c>
      <c r="O19" s="15" t="s">
        <v>1863</v>
      </c>
      <c r="P19" s="15" t="s">
        <v>1864</v>
      </c>
      <c r="Q19" s="15" t="s">
        <v>1865</v>
      </c>
      <c r="R19" s="15" t="s">
        <v>1866</v>
      </c>
      <c r="S19" s="15" t="s">
        <v>1867</v>
      </c>
      <c r="T19" s="15" t="s">
        <v>1868</v>
      </c>
      <c r="U19" s="15" t="s">
        <v>1869</v>
      </c>
      <c r="V19" s="15" t="s">
        <v>1870</v>
      </c>
      <c r="W19" s="15" t="s">
        <v>1871</v>
      </c>
      <c r="X19" s="15" t="s">
        <v>1594</v>
      </c>
    </row>
    <row r="20" spans="1:24" ht="78" customHeight="1" x14ac:dyDescent="0.25">
      <c r="A20" s="36" t="s">
        <v>179</v>
      </c>
      <c r="B20" s="36" t="s">
        <v>180</v>
      </c>
      <c r="C20" s="15" t="s">
        <v>181</v>
      </c>
      <c r="D20" s="15" t="s">
        <v>1872</v>
      </c>
      <c r="E20" s="15" t="s">
        <v>1873</v>
      </c>
      <c r="F20" s="15" t="s">
        <v>1874</v>
      </c>
      <c r="G20" s="15" t="s">
        <v>1875</v>
      </c>
      <c r="H20" s="15" t="s">
        <v>1876</v>
      </c>
      <c r="I20" s="15" t="s">
        <v>1877</v>
      </c>
      <c r="J20" s="15" t="s">
        <v>1878</v>
      </c>
      <c r="K20" s="15" t="s">
        <v>1879</v>
      </c>
      <c r="L20" s="15" t="s">
        <v>1880</v>
      </c>
      <c r="M20" s="15" t="s">
        <v>1881</v>
      </c>
      <c r="N20" s="15" t="s">
        <v>1882</v>
      </c>
      <c r="O20" s="15" t="s">
        <v>1883</v>
      </c>
      <c r="P20" s="15" t="s">
        <v>1884</v>
      </c>
      <c r="Q20" s="15" t="s">
        <v>1885</v>
      </c>
      <c r="R20" s="15" t="s">
        <v>1886</v>
      </c>
      <c r="S20" s="15" t="s">
        <v>1887</v>
      </c>
      <c r="T20" s="15" t="s">
        <v>1888</v>
      </c>
      <c r="U20" s="15" t="s">
        <v>1889</v>
      </c>
      <c r="V20" s="15" t="s">
        <v>1890</v>
      </c>
      <c r="W20" s="15" t="s">
        <v>1891</v>
      </c>
      <c r="X20" s="15" t="s">
        <v>1594</v>
      </c>
    </row>
  </sheetData>
  <mergeCells count="2">
    <mergeCell ref="A1:X1"/>
    <mergeCell ref="A2:X2"/>
  </mergeCells>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
  <sheetViews>
    <sheetView zoomScaleNormal="100" workbookViewId="0">
      <selection sqref="A1:O1"/>
    </sheetView>
  </sheetViews>
  <sheetFormatPr defaultColWidth="8.6328125" defaultRowHeight="14.5" x14ac:dyDescent="0.35"/>
  <cols>
    <col min="1" max="1" width="12" style="12" customWidth="1"/>
    <col min="2" max="2" width="30" style="12" customWidth="1"/>
    <col min="3" max="3" width="20" style="12" customWidth="1"/>
    <col min="4" max="4" width="32" style="12" customWidth="1"/>
    <col min="5" max="5" width="38" style="12" customWidth="1"/>
    <col min="6" max="6" width="25" style="12" customWidth="1"/>
    <col min="7" max="7" width="34" style="12" customWidth="1"/>
    <col min="8" max="8" width="22" style="12" customWidth="1"/>
    <col min="9" max="10" width="20" style="12" customWidth="1"/>
    <col min="11" max="11" width="18" style="12" customWidth="1"/>
    <col min="12" max="12" width="48" style="12" customWidth="1"/>
    <col min="13" max="13" width="22" style="12" customWidth="1"/>
    <col min="14" max="14" width="32" style="12" customWidth="1"/>
    <col min="15" max="15" width="36" style="12" customWidth="1"/>
  </cols>
  <sheetData>
    <row r="1" spans="1:15" ht="20.9" customHeight="1" x14ac:dyDescent="0.25">
      <c r="A1" s="6" t="s">
        <v>1892</v>
      </c>
      <c r="B1" s="6"/>
      <c r="C1" s="6"/>
      <c r="D1" s="6"/>
      <c r="E1" s="6"/>
      <c r="F1" s="6"/>
      <c r="G1" s="6"/>
      <c r="H1" s="6"/>
      <c r="I1" s="6"/>
      <c r="J1" s="6"/>
      <c r="K1" s="6"/>
      <c r="L1" s="6"/>
      <c r="M1" s="6"/>
      <c r="N1" s="6"/>
      <c r="O1" s="6"/>
    </row>
    <row r="2" spans="1:15" ht="15" customHeight="1" x14ac:dyDescent="0.35">
      <c r="A2" s="5" t="s">
        <v>1893</v>
      </c>
      <c r="B2" s="5"/>
      <c r="C2" s="5"/>
      <c r="D2" s="5"/>
      <c r="E2" s="5"/>
      <c r="F2" s="5"/>
      <c r="G2" s="5"/>
      <c r="H2" s="5"/>
      <c r="I2" s="5"/>
      <c r="J2" s="5"/>
      <c r="K2" s="5"/>
      <c r="L2" s="5"/>
      <c r="M2" s="5"/>
      <c r="N2" s="5"/>
      <c r="O2" s="5"/>
    </row>
    <row r="4" spans="1:15" x14ac:dyDescent="0.25">
      <c r="A4" s="14" t="s">
        <v>1894</v>
      </c>
      <c r="B4" s="14" t="s">
        <v>1895</v>
      </c>
      <c r="C4" s="14" t="s">
        <v>1896</v>
      </c>
      <c r="D4" s="14" t="s">
        <v>1897</v>
      </c>
      <c r="E4" s="14" t="s">
        <v>1898</v>
      </c>
      <c r="F4" s="14" t="s">
        <v>1899</v>
      </c>
      <c r="G4" s="14" t="s">
        <v>1900</v>
      </c>
      <c r="H4" s="14" t="s">
        <v>1901</v>
      </c>
      <c r="I4" s="14" t="s">
        <v>1902</v>
      </c>
      <c r="J4" s="14" t="s">
        <v>1903</v>
      </c>
      <c r="K4" s="14" t="s">
        <v>48</v>
      </c>
      <c r="L4" s="14" t="s">
        <v>1168</v>
      </c>
      <c r="M4" s="14" t="s">
        <v>1904</v>
      </c>
      <c r="N4" s="14" t="s">
        <v>1905</v>
      </c>
      <c r="O4" s="14" t="s">
        <v>1353</v>
      </c>
    </row>
    <row r="5" spans="1:15" ht="61.5" customHeight="1" x14ac:dyDescent="0.25">
      <c r="A5" s="36" t="s">
        <v>1906</v>
      </c>
      <c r="B5" s="36" t="s">
        <v>1907</v>
      </c>
      <c r="C5" s="36" t="s">
        <v>1908</v>
      </c>
      <c r="D5" s="15" t="s">
        <v>1909</v>
      </c>
      <c r="E5" s="15" t="s">
        <v>1910</v>
      </c>
      <c r="F5" s="15" t="s">
        <v>1911</v>
      </c>
      <c r="G5" s="15" t="s">
        <v>1912</v>
      </c>
      <c r="H5" s="15" t="s">
        <v>1913</v>
      </c>
      <c r="I5" s="15" t="s">
        <v>1914</v>
      </c>
      <c r="J5" s="15" t="s">
        <v>1915</v>
      </c>
      <c r="K5" s="15" t="s">
        <v>1916</v>
      </c>
      <c r="L5" s="15" t="s">
        <v>1917</v>
      </c>
      <c r="M5" s="15" t="s">
        <v>163</v>
      </c>
      <c r="N5" s="15" t="s">
        <v>1918</v>
      </c>
      <c r="O5" s="15" t="s">
        <v>1919</v>
      </c>
    </row>
    <row r="6" spans="1:15" ht="61.5" customHeight="1" x14ac:dyDescent="0.25">
      <c r="A6" s="36" t="s">
        <v>1920</v>
      </c>
      <c r="B6" s="36" t="s">
        <v>71</v>
      </c>
      <c r="C6" s="36" t="s">
        <v>1908</v>
      </c>
      <c r="D6" s="15" t="s">
        <v>1921</v>
      </c>
      <c r="E6" s="15" t="s">
        <v>1922</v>
      </c>
      <c r="F6" s="15" t="s">
        <v>1923</v>
      </c>
      <c r="G6" s="15" t="s">
        <v>1924</v>
      </c>
      <c r="H6" s="15" t="s">
        <v>1925</v>
      </c>
      <c r="I6" s="15" t="s">
        <v>1926</v>
      </c>
      <c r="J6" s="15" t="s">
        <v>1927</v>
      </c>
      <c r="K6" s="15" t="s">
        <v>1928</v>
      </c>
      <c r="L6" s="15" t="s">
        <v>1929</v>
      </c>
      <c r="M6" s="15" t="s">
        <v>1930</v>
      </c>
      <c r="N6" s="15" t="s">
        <v>1931</v>
      </c>
      <c r="O6" s="15" t="s">
        <v>1919</v>
      </c>
    </row>
    <row r="7" spans="1:15" ht="61.5" customHeight="1" x14ac:dyDescent="0.25">
      <c r="A7" s="36" t="s">
        <v>1932</v>
      </c>
      <c r="B7" s="36" t="s">
        <v>1933</v>
      </c>
      <c r="C7" s="36" t="s">
        <v>1908</v>
      </c>
      <c r="D7" s="15" t="s">
        <v>1934</v>
      </c>
      <c r="E7" s="15" t="s">
        <v>1935</v>
      </c>
      <c r="F7" s="15" t="s">
        <v>1936</v>
      </c>
      <c r="G7" s="15" t="s">
        <v>1937</v>
      </c>
      <c r="H7" s="15" t="s">
        <v>1938</v>
      </c>
      <c r="I7" s="15" t="s">
        <v>1939</v>
      </c>
      <c r="J7" s="15" t="s">
        <v>1940</v>
      </c>
      <c r="K7" s="15" t="s">
        <v>281</v>
      </c>
      <c r="L7" s="15" t="s">
        <v>1941</v>
      </c>
      <c r="M7" s="15" t="s">
        <v>1942</v>
      </c>
      <c r="N7" s="15" t="s">
        <v>1943</v>
      </c>
      <c r="O7" s="15" t="s">
        <v>1919</v>
      </c>
    </row>
    <row r="8" spans="1:15" ht="61.5" customHeight="1" x14ac:dyDescent="0.25">
      <c r="A8" s="36" t="s">
        <v>1944</v>
      </c>
      <c r="B8" s="36" t="s">
        <v>1945</v>
      </c>
      <c r="C8" s="36" t="s">
        <v>1908</v>
      </c>
      <c r="D8" s="15" t="s">
        <v>1946</v>
      </c>
      <c r="E8" s="15" t="s">
        <v>1947</v>
      </c>
      <c r="F8" s="15" t="s">
        <v>1948</v>
      </c>
      <c r="G8" s="15" t="s">
        <v>1949</v>
      </c>
      <c r="H8" s="15" t="s">
        <v>1950</v>
      </c>
      <c r="I8" s="15" t="s">
        <v>1951</v>
      </c>
      <c r="J8" s="15" t="s">
        <v>1952</v>
      </c>
      <c r="K8" s="15" t="s">
        <v>1953</v>
      </c>
      <c r="L8" s="15" t="s">
        <v>1954</v>
      </c>
      <c r="M8" s="15" t="s">
        <v>102</v>
      </c>
      <c r="N8" s="15" t="s">
        <v>1955</v>
      </c>
      <c r="O8" s="15" t="s">
        <v>1919</v>
      </c>
    </row>
    <row r="9" spans="1:15" ht="61.5" customHeight="1" x14ac:dyDescent="0.25">
      <c r="A9" s="36" t="s">
        <v>1956</v>
      </c>
      <c r="B9" s="36" t="s">
        <v>54</v>
      </c>
      <c r="C9" s="36" t="s">
        <v>1908</v>
      </c>
      <c r="D9" s="15" t="s">
        <v>1957</v>
      </c>
      <c r="E9" s="15" t="s">
        <v>1958</v>
      </c>
      <c r="F9" s="15" t="s">
        <v>1959</v>
      </c>
      <c r="G9" s="15" t="s">
        <v>1960</v>
      </c>
      <c r="H9" s="15" t="s">
        <v>1961</v>
      </c>
      <c r="I9" s="15" t="s">
        <v>1962</v>
      </c>
      <c r="J9" s="15" t="s">
        <v>1586</v>
      </c>
      <c r="K9" s="15" t="s">
        <v>1963</v>
      </c>
      <c r="L9" s="15" t="s">
        <v>1964</v>
      </c>
      <c r="M9" s="15" t="s">
        <v>1965</v>
      </c>
      <c r="N9" s="15" t="s">
        <v>1966</v>
      </c>
      <c r="O9" s="15" t="s">
        <v>1919</v>
      </c>
    </row>
    <row r="10" spans="1:15" ht="61.5" customHeight="1" x14ac:dyDescent="0.25">
      <c r="A10" s="36" t="s">
        <v>1967</v>
      </c>
      <c r="B10" s="36" t="s">
        <v>1968</v>
      </c>
      <c r="C10" s="36" t="s">
        <v>1908</v>
      </c>
      <c r="D10" s="15" t="s">
        <v>1969</v>
      </c>
      <c r="E10" s="15" t="s">
        <v>1970</v>
      </c>
      <c r="F10" s="15" t="s">
        <v>1971</v>
      </c>
      <c r="G10" s="15" t="s">
        <v>1972</v>
      </c>
      <c r="H10" s="15" t="s">
        <v>1973</v>
      </c>
      <c r="I10" s="15" t="s">
        <v>1974</v>
      </c>
      <c r="J10" s="15" t="s">
        <v>1975</v>
      </c>
      <c r="K10" s="15" t="s">
        <v>1976</v>
      </c>
      <c r="L10" s="15" t="s">
        <v>1977</v>
      </c>
      <c r="M10" s="15" t="s">
        <v>1978</v>
      </c>
      <c r="N10" s="15" t="s">
        <v>1979</v>
      </c>
      <c r="O10" s="15" t="s">
        <v>1919</v>
      </c>
    </row>
    <row r="11" spans="1:15" ht="61.5" customHeight="1" x14ac:dyDescent="0.25">
      <c r="A11" s="36" t="s">
        <v>1980</v>
      </c>
      <c r="B11" s="36" t="s">
        <v>1981</v>
      </c>
      <c r="C11" s="36" t="s">
        <v>1908</v>
      </c>
      <c r="D11" s="15" t="s">
        <v>1982</v>
      </c>
      <c r="E11" s="15" t="s">
        <v>1983</v>
      </c>
      <c r="F11" s="15" t="s">
        <v>1984</v>
      </c>
      <c r="G11" s="15" t="s">
        <v>1985</v>
      </c>
      <c r="H11" s="15" t="s">
        <v>1986</v>
      </c>
      <c r="I11" s="15" t="s">
        <v>1987</v>
      </c>
      <c r="J11" s="15" t="s">
        <v>1988</v>
      </c>
      <c r="K11" s="15" t="s">
        <v>1989</v>
      </c>
      <c r="L11" s="15" t="s">
        <v>1990</v>
      </c>
      <c r="M11" s="15" t="s">
        <v>1991</v>
      </c>
      <c r="N11" s="15" t="s">
        <v>1992</v>
      </c>
      <c r="O11" s="15" t="s">
        <v>1919</v>
      </c>
    </row>
    <row r="12" spans="1:15" ht="61.5" customHeight="1" x14ac:dyDescent="0.25">
      <c r="A12" s="36" t="s">
        <v>1993</v>
      </c>
      <c r="B12" s="36" t="s">
        <v>1994</v>
      </c>
      <c r="C12" s="36" t="s">
        <v>1908</v>
      </c>
      <c r="D12" s="15" t="s">
        <v>1995</v>
      </c>
      <c r="E12" s="15" t="s">
        <v>1996</v>
      </c>
      <c r="F12" s="15" t="s">
        <v>1997</v>
      </c>
      <c r="G12" s="15" t="s">
        <v>1998</v>
      </c>
      <c r="H12" s="15" t="s">
        <v>1999</v>
      </c>
      <c r="I12" s="15" t="s">
        <v>1705</v>
      </c>
      <c r="J12" s="15" t="s">
        <v>1586</v>
      </c>
      <c r="K12" s="15" t="s">
        <v>1586</v>
      </c>
      <c r="L12" s="15" t="s">
        <v>2000</v>
      </c>
      <c r="M12" s="15" t="s">
        <v>2001</v>
      </c>
      <c r="N12" s="15" t="s">
        <v>2002</v>
      </c>
      <c r="O12" s="15" t="s">
        <v>1919</v>
      </c>
    </row>
    <row r="13" spans="1:15" ht="61.5" customHeight="1" x14ac:dyDescent="0.25">
      <c r="A13" s="36" t="s">
        <v>2003</v>
      </c>
      <c r="B13" s="36" t="s">
        <v>63</v>
      </c>
      <c r="C13" s="36" t="s">
        <v>2004</v>
      </c>
      <c r="D13" s="15" t="s">
        <v>2005</v>
      </c>
      <c r="E13" s="15" t="s">
        <v>2006</v>
      </c>
      <c r="F13" s="15" t="s">
        <v>2007</v>
      </c>
      <c r="G13" s="15" t="s">
        <v>2008</v>
      </c>
      <c r="H13" s="15" t="s">
        <v>1913</v>
      </c>
      <c r="I13" s="15" t="s">
        <v>2009</v>
      </c>
      <c r="J13" s="15" t="s">
        <v>2010</v>
      </c>
      <c r="K13" s="15" t="s">
        <v>2011</v>
      </c>
      <c r="L13" s="15" t="s">
        <v>2012</v>
      </c>
      <c r="M13" s="15" t="s">
        <v>60</v>
      </c>
      <c r="N13" s="15" t="s">
        <v>2013</v>
      </c>
      <c r="O13" s="15" t="s">
        <v>2014</v>
      </c>
    </row>
    <row r="14" spans="1:15" ht="61.5" customHeight="1" x14ac:dyDescent="0.25">
      <c r="A14" s="36" t="s">
        <v>2015</v>
      </c>
      <c r="B14" s="36" t="s">
        <v>2016</v>
      </c>
      <c r="C14" s="36" t="s">
        <v>2004</v>
      </c>
      <c r="D14" s="15" t="s">
        <v>2017</v>
      </c>
      <c r="E14" s="15" t="s">
        <v>2018</v>
      </c>
      <c r="F14" s="15" t="s">
        <v>2019</v>
      </c>
      <c r="G14" s="15" t="s">
        <v>2020</v>
      </c>
      <c r="H14" s="15" t="s">
        <v>2021</v>
      </c>
      <c r="I14" s="15" t="s">
        <v>2022</v>
      </c>
      <c r="J14" s="15" t="s">
        <v>2023</v>
      </c>
      <c r="K14" s="15" t="s">
        <v>1952</v>
      </c>
      <c r="L14" s="15" t="s">
        <v>2024</v>
      </c>
      <c r="M14" s="15" t="s">
        <v>2025</v>
      </c>
      <c r="N14" s="15" t="s">
        <v>2026</v>
      </c>
      <c r="O14" s="15" t="s">
        <v>2027</v>
      </c>
    </row>
    <row r="15" spans="1:15" ht="61.5" customHeight="1" x14ac:dyDescent="0.25">
      <c r="A15" s="36" t="s">
        <v>2028</v>
      </c>
      <c r="B15" s="36" t="s">
        <v>140</v>
      </c>
      <c r="C15" s="36" t="s">
        <v>2004</v>
      </c>
      <c r="D15" s="15" t="s">
        <v>2029</v>
      </c>
      <c r="E15" s="15" t="s">
        <v>2030</v>
      </c>
      <c r="F15" s="15" t="s">
        <v>2031</v>
      </c>
      <c r="G15" s="15" t="s">
        <v>2032</v>
      </c>
      <c r="H15" s="15" t="s">
        <v>2033</v>
      </c>
      <c r="I15" s="15" t="s">
        <v>2034</v>
      </c>
      <c r="J15" s="15" t="s">
        <v>1784</v>
      </c>
      <c r="K15" s="15" t="s">
        <v>2035</v>
      </c>
      <c r="L15" s="15" t="s">
        <v>2036</v>
      </c>
      <c r="M15" s="15" t="s">
        <v>138</v>
      </c>
      <c r="N15" s="15" t="s">
        <v>2037</v>
      </c>
      <c r="O15" s="15" t="s">
        <v>2038</v>
      </c>
    </row>
    <row r="16" spans="1:15" ht="61.5" customHeight="1" x14ac:dyDescent="0.25">
      <c r="A16" s="36" t="s">
        <v>2039</v>
      </c>
      <c r="B16" s="36" t="s">
        <v>2040</v>
      </c>
      <c r="C16" s="36" t="s">
        <v>2004</v>
      </c>
      <c r="D16" s="15" t="s">
        <v>2041</v>
      </c>
      <c r="E16" s="15" t="s">
        <v>2042</v>
      </c>
      <c r="F16" s="15" t="s">
        <v>2043</v>
      </c>
      <c r="G16" s="15" t="s">
        <v>2044</v>
      </c>
      <c r="H16" s="15" t="s">
        <v>2045</v>
      </c>
      <c r="I16" s="15" t="s">
        <v>2046</v>
      </c>
      <c r="J16" s="15" t="s">
        <v>1724</v>
      </c>
      <c r="K16" s="15" t="s">
        <v>1725</v>
      </c>
      <c r="L16" s="15" t="s">
        <v>2047</v>
      </c>
      <c r="M16" s="15" t="s">
        <v>111</v>
      </c>
      <c r="N16" s="15" t="s">
        <v>1729</v>
      </c>
      <c r="O16" s="15" t="s">
        <v>2048</v>
      </c>
    </row>
    <row r="17" spans="1:15" ht="61.5" customHeight="1" x14ac:dyDescent="0.25">
      <c r="A17" s="36" t="s">
        <v>2049</v>
      </c>
      <c r="B17" s="36" t="s">
        <v>2050</v>
      </c>
      <c r="C17" s="36" t="s">
        <v>2004</v>
      </c>
      <c r="D17" s="15" t="s">
        <v>2051</v>
      </c>
      <c r="E17" s="15" t="s">
        <v>2052</v>
      </c>
      <c r="F17" s="15" t="s">
        <v>2053</v>
      </c>
      <c r="G17" s="15" t="s">
        <v>2054</v>
      </c>
      <c r="H17" s="15" t="s">
        <v>1961</v>
      </c>
      <c r="I17" s="15" t="s">
        <v>2055</v>
      </c>
      <c r="J17" s="15" t="s">
        <v>2056</v>
      </c>
      <c r="K17" s="15" t="s">
        <v>1725</v>
      </c>
      <c r="L17" s="15" t="s">
        <v>2057</v>
      </c>
      <c r="M17" s="15" t="s">
        <v>2058</v>
      </c>
      <c r="N17" s="15" t="s">
        <v>2059</v>
      </c>
      <c r="O17" s="15" t="s">
        <v>2060</v>
      </c>
    </row>
    <row r="18" spans="1:15" ht="61.5" customHeight="1" x14ac:dyDescent="0.25">
      <c r="A18" s="36" t="s">
        <v>2061</v>
      </c>
      <c r="B18" s="36" t="s">
        <v>2062</v>
      </c>
      <c r="C18" s="36" t="s">
        <v>2004</v>
      </c>
      <c r="D18" s="15" t="s">
        <v>2063</v>
      </c>
      <c r="E18" s="15" t="s">
        <v>2064</v>
      </c>
      <c r="F18" s="15" t="s">
        <v>2065</v>
      </c>
      <c r="G18" s="15" t="s">
        <v>2066</v>
      </c>
      <c r="H18" s="15" t="s">
        <v>1961</v>
      </c>
      <c r="I18" s="15" t="s">
        <v>2067</v>
      </c>
      <c r="J18" s="15" t="s">
        <v>1927</v>
      </c>
      <c r="K18" s="15" t="s">
        <v>2068</v>
      </c>
      <c r="L18" s="15" t="s">
        <v>2069</v>
      </c>
      <c r="M18" s="15" t="s">
        <v>129</v>
      </c>
      <c r="N18" s="15" t="s">
        <v>2070</v>
      </c>
      <c r="O18" s="15" t="s">
        <v>2071</v>
      </c>
    </row>
    <row r="19" spans="1:15" ht="61.5" customHeight="1" x14ac:dyDescent="0.25">
      <c r="A19" s="36" t="s">
        <v>2072</v>
      </c>
      <c r="B19" s="36" t="s">
        <v>2073</v>
      </c>
      <c r="C19" s="36" t="s">
        <v>2004</v>
      </c>
      <c r="D19" s="15" t="s">
        <v>2074</v>
      </c>
      <c r="E19" s="15" t="s">
        <v>2075</v>
      </c>
      <c r="F19" s="15" t="s">
        <v>2076</v>
      </c>
      <c r="G19" s="15" t="s">
        <v>2077</v>
      </c>
      <c r="H19" s="15" t="s">
        <v>2078</v>
      </c>
      <c r="I19" s="15" t="s">
        <v>1841</v>
      </c>
      <c r="J19" s="15" t="s">
        <v>2079</v>
      </c>
      <c r="K19" s="15" t="s">
        <v>1725</v>
      </c>
      <c r="L19" s="15" t="s">
        <v>2080</v>
      </c>
      <c r="M19" s="15" t="s">
        <v>155</v>
      </c>
      <c r="N19" s="15" t="s">
        <v>2081</v>
      </c>
      <c r="O19" s="15" t="s">
        <v>2082</v>
      </c>
    </row>
    <row r="20" spans="1:15" ht="61.5" customHeight="1" x14ac:dyDescent="0.25">
      <c r="A20" s="36" t="s">
        <v>2083</v>
      </c>
      <c r="B20" s="36" t="s">
        <v>2084</v>
      </c>
      <c r="C20" s="36" t="s">
        <v>2004</v>
      </c>
      <c r="D20" s="15" t="s">
        <v>2085</v>
      </c>
      <c r="E20" s="15" t="s">
        <v>2086</v>
      </c>
      <c r="F20" s="15" t="s">
        <v>2087</v>
      </c>
      <c r="G20" s="15" t="s">
        <v>2088</v>
      </c>
      <c r="H20" s="15" t="s">
        <v>2089</v>
      </c>
      <c r="I20" s="15" t="s">
        <v>2090</v>
      </c>
      <c r="J20" s="15" t="s">
        <v>2091</v>
      </c>
      <c r="K20" s="15" t="s">
        <v>1586</v>
      </c>
      <c r="L20" s="15" t="s">
        <v>2092</v>
      </c>
      <c r="M20" s="15" t="s">
        <v>2093</v>
      </c>
      <c r="N20" s="15" t="s">
        <v>2094</v>
      </c>
      <c r="O20" s="15" t="s">
        <v>2095</v>
      </c>
    </row>
  </sheetData>
  <mergeCells count="2">
    <mergeCell ref="A1:O1"/>
    <mergeCell ref="A2:O2"/>
  </mergeCells>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4"/>
  <sheetViews>
    <sheetView zoomScaleNormal="100" workbookViewId="0">
      <selection sqref="A1:N1"/>
    </sheetView>
  </sheetViews>
  <sheetFormatPr defaultColWidth="8.6328125" defaultRowHeight="14.5" x14ac:dyDescent="0.35"/>
  <cols>
    <col min="1" max="1" width="10" style="12" customWidth="1"/>
    <col min="2" max="2" width="20" style="12" customWidth="1"/>
    <col min="3" max="3" width="30" style="12" customWidth="1"/>
    <col min="4" max="4" width="34" style="12" customWidth="1"/>
    <col min="5" max="5" width="52" style="12" customWidth="1"/>
    <col min="6" max="6" width="18" style="12" customWidth="1"/>
    <col min="7" max="7" width="20" style="12" customWidth="1"/>
    <col min="8" max="8" width="32" style="12" customWidth="1"/>
    <col min="9" max="9" width="24" style="12" customWidth="1"/>
    <col min="10" max="11" width="20" style="12" customWidth="1"/>
    <col min="12" max="12" width="18" style="12" customWidth="1"/>
    <col min="13" max="13" width="50" style="12" customWidth="1"/>
    <col min="14" max="14" width="42" style="12" customWidth="1"/>
  </cols>
  <sheetData>
    <row r="1" spans="1:14" ht="20.9" customHeight="1" x14ac:dyDescent="0.25">
      <c r="A1" s="6" t="s">
        <v>2096</v>
      </c>
      <c r="B1" s="6"/>
      <c r="C1" s="6"/>
      <c r="D1" s="6"/>
      <c r="E1" s="6"/>
      <c r="F1" s="6"/>
      <c r="G1" s="6"/>
      <c r="H1" s="6"/>
      <c r="I1" s="6"/>
      <c r="J1" s="6"/>
      <c r="K1" s="6"/>
      <c r="L1" s="6"/>
      <c r="M1" s="6"/>
      <c r="N1" s="6"/>
    </row>
    <row r="2" spans="1:14" ht="15" customHeight="1" x14ac:dyDescent="0.35">
      <c r="A2" s="5" t="s">
        <v>2097</v>
      </c>
      <c r="B2" s="5"/>
      <c r="C2" s="5"/>
      <c r="D2" s="5"/>
      <c r="E2" s="5"/>
      <c r="F2" s="5"/>
      <c r="G2" s="5"/>
      <c r="H2" s="5"/>
      <c r="I2" s="5"/>
      <c r="J2" s="5"/>
      <c r="K2" s="5"/>
      <c r="L2" s="5"/>
      <c r="M2" s="5"/>
      <c r="N2" s="5"/>
    </row>
    <row r="4" spans="1:14" x14ac:dyDescent="0.25">
      <c r="A4" s="14" t="s">
        <v>2098</v>
      </c>
      <c r="B4" s="14" t="s">
        <v>2099</v>
      </c>
      <c r="C4" s="14" t="s">
        <v>249</v>
      </c>
      <c r="D4" s="14" t="s">
        <v>2100</v>
      </c>
      <c r="E4" s="14" t="s">
        <v>2101</v>
      </c>
      <c r="F4" s="14" t="s">
        <v>2102</v>
      </c>
      <c r="G4" s="14" t="s">
        <v>2103</v>
      </c>
      <c r="H4" s="14" t="s">
        <v>2104</v>
      </c>
      <c r="I4" s="14" t="s">
        <v>2105</v>
      </c>
      <c r="J4" s="14" t="s">
        <v>1566</v>
      </c>
      <c r="K4" s="14" t="s">
        <v>217</v>
      </c>
      <c r="L4" s="14" t="s">
        <v>48</v>
      </c>
      <c r="M4" s="14" t="s">
        <v>2106</v>
      </c>
      <c r="N4" s="14" t="s">
        <v>2107</v>
      </c>
    </row>
    <row r="5" spans="1:14" ht="69.75" customHeight="1" x14ac:dyDescent="0.25">
      <c r="A5" s="36" t="s">
        <v>2108</v>
      </c>
      <c r="B5" s="36" t="s">
        <v>2109</v>
      </c>
      <c r="C5" s="36" t="s">
        <v>2110</v>
      </c>
      <c r="D5" s="15" t="s">
        <v>2111</v>
      </c>
      <c r="E5" s="15" t="s">
        <v>2112</v>
      </c>
      <c r="F5" s="15" t="s">
        <v>2113</v>
      </c>
      <c r="G5" s="15" t="s">
        <v>2114</v>
      </c>
      <c r="H5" s="15" t="s">
        <v>2115</v>
      </c>
      <c r="I5" s="15" t="s">
        <v>2116</v>
      </c>
      <c r="J5" s="15" t="s">
        <v>2117</v>
      </c>
      <c r="K5" s="15" t="s">
        <v>2118</v>
      </c>
      <c r="L5" s="15" t="s">
        <v>2119</v>
      </c>
      <c r="M5" s="15" t="s">
        <v>2120</v>
      </c>
      <c r="N5" s="15" t="s">
        <v>2121</v>
      </c>
    </row>
    <row r="6" spans="1:14" ht="69.75" customHeight="1" x14ac:dyDescent="0.25">
      <c r="A6" s="36" t="s">
        <v>2122</v>
      </c>
      <c r="B6" s="36" t="s">
        <v>2123</v>
      </c>
      <c r="C6" s="36" t="s">
        <v>2124</v>
      </c>
      <c r="D6" s="15" t="s">
        <v>2125</v>
      </c>
      <c r="E6" s="15" t="s">
        <v>2126</v>
      </c>
      <c r="F6" s="15" t="s">
        <v>1920</v>
      </c>
      <c r="G6" s="15" t="s">
        <v>2127</v>
      </c>
      <c r="H6" s="15" t="s">
        <v>2128</v>
      </c>
      <c r="I6" s="15" t="s">
        <v>2129</v>
      </c>
      <c r="J6" s="15" t="s">
        <v>2130</v>
      </c>
      <c r="K6" s="15" t="s">
        <v>2131</v>
      </c>
      <c r="L6" s="15" t="s">
        <v>2132</v>
      </c>
      <c r="M6" s="15" t="s">
        <v>2133</v>
      </c>
      <c r="N6" s="15" t="s">
        <v>2121</v>
      </c>
    </row>
    <row r="7" spans="1:14" ht="69.75" customHeight="1" x14ac:dyDescent="0.25">
      <c r="A7" s="36" t="s">
        <v>2134</v>
      </c>
      <c r="B7" s="36" t="s">
        <v>2123</v>
      </c>
      <c r="C7" s="36" t="s">
        <v>2135</v>
      </c>
      <c r="D7" s="15" t="s">
        <v>2136</v>
      </c>
      <c r="E7" s="15" t="s">
        <v>2137</v>
      </c>
      <c r="F7" s="15" t="s">
        <v>2138</v>
      </c>
      <c r="G7" s="15" t="s">
        <v>2139</v>
      </c>
      <c r="H7" s="15" t="s">
        <v>2140</v>
      </c>
      <c r="I7" s="15" t="s">
        <v>2141</v>
      </c>
      <c r="J7" s="15" t="s">
        <v>2142</v>
      </c>
      <c r="K7" s="15" t="s">
        <v>2143</v>
      </c>
      <c r="L7" s="15" t="s">
        <v>2144</v>
      </c>
      <c r="M7" s="15" t="s">
        <v>2145</v>
      </c>
      <c r="N7" s="15" t="s">
        <v>2146</v>
      </c>
    </row>
    <row r="8" spans="1:14" ht="69.75" customHeight="1" x14ac:dyDescent="0.25">
      <c r="A8" s="36" t="s">
        <v>2147</v>
      </c>
      <c r="B8" s="36" t="s">
        <v>2148</v>
      </c>
      <c r="C8" s="36" t="s">
        <v>2149</v>
      </c>
      <c r="D8" s="15" t="s">
        <v>2150</v>
      </c>
      <c r="E8" s="15" t="s">
        <v>2151</v>
      </c>
      <c r="F8" s="15" t="s">
        <v>1932</v>
      </c>
      <c r="G8" s="15" t="s">
        <v>2152</v>
      </c>
      <c r="H8" s="15" t="s">
        <v>2153</v>
      </c>
      <c r="I8" s="15" t="s">
        <v>2154</v>
      </c>
      <c r="J8" s="15" t="s">
        <v>2155</v>
      </c>
      <c r="K8" s="15" t="s">
        <v>2156</v>
      </c>
      <c r="L8" s="15" t="s">
        <v>2144</v>
      </c>
      <c r="M8" s="15" t="s">
        <v>2157</v>
      </c>
      <c r="N8" s="15" t="s">
        <v>2121</v>
      </c>
    </row>
    <row r="9" spans="1:14" ht="69.75" customHeight="1" x14ac:dyDescent="0.25">
      <c r="A9" s="36" t="s">
        <v>2158</v>
      </c>
      <c r="B9" s="36" t="s">
        <v>2159</v>
      </c>
      <c r="C9" s="36" t="s">
        <v>2160</v>
      </c>
      <c r="D9" s="15" t="s">
        <v>2161</v>
      </c>
      <c r="E9" s="15" t="s">
        <v>2162</v>
      </c>
      <c r="F9" s="15" t="s">
        <v>1906</v>
      </c>
      <c r="G9" s="15" t="s">
        <v>163</v>
      </c>
      <c r="H9" s="15" t="s">
        <v>2163</v>
      </c>
      <c r="I9" s="15" t="s">
        <v>2164</v>
      </c>
      <c r="J9" s="15" t="s">
        <v>2165</v>
      </c>
      <c r="K9" s="15" t="s">
        <v>2166</v>
      </c>
      <c r="L9" s="15" t="s">
        <v>2167</v>
      </c>
      <c r="M9" s="15" t="s">
        <v>2168</v>
      </c>
      <c r="N9" s="15" t="s">
        <v>2121</v>
      </c>
    </row>
    <row r="10" spans="1:14" ht="69.75" customHeight="1" x14ac:dyDescent="0.25">
      <c r="A10" s="36" t="s">
        <v>2169</v>
      </c>
      <c r="B10" s="36" t="s">
        <v>2159</v>
      </c>
      <c r="C10" s="36" t="s">
        <v>2170</v>
      </c>
      <c r="D10" s="15" t="s">
        <v>2171</v>
      </c>
      <c r="E10" s="15" t="s">
        <v>2172</v>
      </c>
      <c r="F10" s="15" t="s">
        <v>1906</v>
      </c>
      <c r="G10" s="15" t="s">
        <v>2173</v>
      </c>
      <c r="H10" s="15" t="s">
        <v>2174</v>
      </c>
      <c r="I10" s="15" t="s">
        <v>1913</v>
      </c>
      <c r="J10" s="15" t="s">
        <v>2175</v>
      </c>
      <c r="K10" s="15" t="s">
        <v>2176</v>
      </c>
      <c r="L10" s="15" t="s">
        <v>2177</v>
      </c>
      <c r="M10" s="15" t="s">
        <v>2178</v>
      </c>
      <c r="N10" s="15" t="s">
        <v>2121</v>
      </c>
    </row>
    <row r="11" spans="1:14" ht="69.75" customHeight="1" x14ac:dyDescent="0.25">
      <c r="A11" s="36" t="s">
        <v>2179</v>
      </c>
      <c r="B11" s="36" t="s">
        <v>2109</v>
      </c>
      <c r="C11" s="36" t="s">
        <v>2180</v>
      </c>
      <c r="D11" s="15" t="s">
        <v>2181</v>
      </c>
      <c r="E11" s="15" t="s">
        <v>2182</v>
      </c>
      <c r="F11" s="15" t="s">
        <v>2183</v>
      </c>
      <c r="G11" s="15" t="s">
        <v>2184</v>
      </c>
      <c r="H11" s="15" t="s">
        <v>2185</v>
      </c>
      <c r="I11" s="15" t="s">
        <v>2186</v>
      </c>
      <c r="J11" s="15" t="s">
        <v>2187</v>
      </c>
      <c r="K11" s="15" t="s">
        <v>2188</v>
      </c>
      <c r="L11" s="15" t="s">
        <v>2144</v>
      </c>
      <c r="M11" s="15" t="s">
        <v>2189</v>
      </c>
      <c r="N11" s="15" t="s">
        <v>2190</v>
      </c>
    </row>
    <row r="12" spans="1:14" ht="69.75" customHeight="1" x14ac:dyDescent="0.25">
      <c r="A12" s="36" t="s">
        <v>2191</v>
      </c>
      <c r="B12" s="36" t="s">
        <v>2109</v>
      </c>
      <c r="C12" s="36" t="s">
        <v>2192</v>
      </c>
      <c r="D12" s="15" t="s">
        <v>2193</v>
      </c>
      <c r="E12" s="15" t="s">
        <v>2194</v>
      </c>
      <c r="F12" s="15" t="s">
        <v>2195</v>
      </c>
      <c r="G12" s="15" t="s">
        <v>2196</v>
      </c>
      <c r="H12" s="15" t="s">
        <v>2197</v>
      </c>
      <c r="I12" s="15" t="s">
        <v>2198</v>
      </c>
      <c r="J12" s="15" t="s">
        <v>2199</v>
      </c>
      <c r="K12" s="15" t="s">
        <v>1586</v>
      </c>
      <c r="L12" s="15" t="s">
        <v>1586</v>
      </c>
      <c r="M12" s="15" t="s">
        <v>2200</v>
      </c>
      <c r="N12" s="15" t="s">
        <v>2201</v>
      </c>
    </row>
    <row r="13" spans="1:14" ht="69.75" customHeight="1" x14ac:dyDescent="0.25">
      <c r="A13" s="36" t="s">
        <v>2202</v>
      </c>
      <c r="B13" s="36" t="s">
        <v>2203</v>
      </c>
      <c r="C13" s="36" t="s">
        <v>433</v>
      </c>
      <c r="D13" s="15" t="s">
        <v>2204</v>
      </c>
      <c r="E13" s="15" t="s">
        <v>2205</v>
      </c>
      <c r="F13" s="15" t="s">
        <v>2206</v>
      </c>
      <c r="G13" s="15" t="s">
        <v>2207</v>
      </c>
      <c r="H13" s="15" t="s">
        <v>2208</v>
      </c>
      <c r="I13" s="15" t="s">
        <v>2186</v>
      </c>
      <c r="J13" s="15" t="s">
        <v>2209</v>
      </c>
      <c r="K13" s="15" t="s">
        <v>2210</v>
      </c>
      <c r="L13" s="15" t="s">
        <v>1586</v>
      </c>
      <c r="M13" s="15" t="s">
        <v>2211</v>
      </c>
      <c r="N13" s="15" t="s">
        <v>2212</v>
      </c>
    </row>
    <row r="14" spans="1:14" ht="69.75" customHeight="1" x14ac:dyDescent="0.25">
      <c r="A14" s="36" t="s">
        <v>2213</v>
      </c>
      <c r="B14" s="36" t="s">
        <v>2203</v>
      </c>
      <c r="C14" s="36" t="s">
        <v>273</v>
      </c>
      <c r="D14" s="15" t="s">
        <v>2214</v>
      </c>
      <c r="E14" s="15" t="s">
        <v>2215</v>
      </c>
      <c r="F14" s="15" t="s">
        <v>2216</v>
      </c>
      <c r="G14" s="15" t="s">
        <v>2217</v>
      </c>
      <c r="H14" s="15" t="s">
        <v>2218</v>
      </c>
      <c r="I14" s="15" t="s">
        <v>2219</v>
      </c>
      <c r="J14" s="15" t="s">
        <v>2220</v>
      </c>
      <c r="K14" s="15" t="s">
        <v>2221</v>
      </c>
      <c r="L14" s="15" t="s">
        <v>2222</v>
      </c>
      <c r="M14" s="15" t="s">
        <v>2223</v>
      </c>
      <c r="N14" s="15" t="s">
        <v>2224</v>
      </c>
    </row>
    <row r="15" spans="1:14" ht="69.75" customHeight="1" x14ac:dyDescent="0.25">
      <c r="A15" s="36" t="s">
        <v>2225</v>
      </c>
      <c r="B15" s="36" t="s">
        <v>2226</v>
      </c>
      <c r="C15" s="36" t="s">
        <v>2227</v>
      </c>
      <c r="D15" s="15" t="s">
        <v>2228</v>
      </c>
      <c r="E15" s="15" t="s">
        <v>2229</v>
      </c>
      <c r="F15" s="15" t="s">
        <v>2230</v>
      </c>
      <c r="G15" s="15" t="s">
        <v>2231</v>
      </c>
      <c r="H15" s="15" t="s">
        <v>2232</v>
      </c>
      <c r="I15" s="15" t="s">
        <v>2233</v>
      </c>
      <c r="J15" s="15" t="s">
        <v>2234</v>
      </c>
      <c r="K15" s="15" t="s">
        <v>2235</v>
      </c>
      <c r="L15" s="15" t="s">
        <v>2236</v>
      </c>
      <c r="M15" s="15" t="s">
        <v>2237</v>
      </c>
      <c r="N15" s="15" t="s">
        <v>2238</v>
      </c>
    </row>
    <row r="16" spans="1:14" ht="69.75" customHeight="1" x14ac:dyDescent="0.25">
      <c r="A16" s="36" t="s">
        <v>2239</v>
      </c>
      <c r="B16" s="36" t="s">
        <v>2240</v>
      </c>
      <c r="C16" s="36" t="s">
        <v>852</v>
      </c>
      <c r="D16" s="15" t="s">
        <v>2241</v>
      </c>
      <c r="E16" s="15" t="s">
        <v>2242</v>
      </c>
      <c r="F16" s="15" t="s">
        <v>2243</v>
      </c>
      <c r="G16" s="15" t="s">
        <v>2244</v>
      </c>
      <c r="H16" s="15" t="s">
        <v>2245</v>
      </c>
      <c r="I16" s="15" t="s">
        <v>1961</v>
      </c>
      <c r="J16" s="15" t="s">
        <v>2246</v>
      </c>
      <c r="K16" s="15" t="s">
        <v>1927</v>
      </c>
      <c r="L16" s="15" t="s">
        <v>2247</v>
      </c>
      <c r="M16" s="15" t="s">
        <v>2248</v>
      </c>
      <c r="N16" s="15" t="s">
        <v>2249</v>
      </c>
    </row>
    <row r="17" spans="1:14" ht="69.75" customHeight="1" x14ac:dyDescent="0.25">
      <c r="A17" s="36" t="s">
        <v>2250</v>
      </c>
      <c r="B17" s="36" t="s">
        <v>2251</v>
      </c>
      <c r="C17" s="36" t="s">
        <v>2252</v>
      </c>
      <c r="D17" s="15" t="s">
        <v>2253</v>
      </c>
      <c r="E17" s="15" t="s">
        <v>2254</v>
      </c>
      <c r="F17" s="15" t="s">
        <v>2255</v>
      </c>
      <c r="G17" s="15" t="s">
        <v>2256</v>
      </c>
      <c r="H17" s="15" t="s">
        <v>2257</v>
      </c>
      <c r="I17" s="15" t="s">
        <v>2258</v>
      </c>
      <c r="J17" s="15" t="s">
        <v>2259</v>
      </c>
      <c r="K17" s="15" t="s">
        <v>2260</v>
      </c>
      <c r="L17" s="15" t="s">
        <v>1725</v>
      </c>
      <c r="M17" s="15" t="s">
        <v>2261</v>
      </c>
      <c r="N17" s="15" t="s">
        <v>2262</v>
      </c>
    </row>
    <row r="18" spans="1:14" ht="69.75" customHeight="1" x14ac:dyDescent="0.25">
      <c r="A18" s="36" t="s">
        <v>2263</v>
      </c>
      <c r="B18" s="36" t="s">
        <v>2264</v>
      </c>
      <c r="C18" s="36" t="s">
        <v>1005</v>
      </c>
      <c r="D18" s="15" t="s">
        <v>2265</v>
      </c>
      <c r="E18" s="15" t="s">
        <v>2266</v>
      </c>
      <c r="F18" s="15" t="s">
        <v>2267</v>
      </c>
      <c r="G18" s="15" t="s">
        <v>2268</v>
      </c>
      <c r="H18" s="15" t="s">
        <v>2269</v>
      </c>
      <c r="I18" s="15" t="s">
        <v>1913</v>
      </c>
      <c r="J18" s="15" t="s">
        <v>2270</v>
      </c>
      <c r="K18" s="15" t="s">
        <v>2176</v>
      </c>
      <c r="L18" s="15" t="s">
        <v>2177</v>
      </c>
      <c r="M18" s="15" t="s">
        <v>2271</v>
      </c>
      <c r="N18" s="15" t="s">
        <v>2262</v>
      </c>
    </row>
    <row r="19" spans="1:14" ht="69.75" customHeight="1" x14ac:dyDescent="0.25">
      <c r="A19" s="36" t="s">
        <v>2272</v>
      </c>
      <c r="B19" s="36" t="s">
        <v>2273</v>
      </c>
      <c r="C19" s="36" t="s">
        <v>2274</v>
      </c>
      <c r="D19" s="15" t="s">
        <v>2275</v>
      </c>
      <c r="E19" s="15" t="s">
        <v>2276</v>
      </c>
      <c r="F19" s="15" t="s">
        <v>2277</v>
      </c>
      <c r="G19" s="15" t="s">
        <v>2278</v>
      </c>
      <c r="H19" s="15" t="s">
        <v>2279</v>
      </c>
      <c r="I19" s="15" t="s">
        <v>2280</v>
      </c>
      <c r="J19" s="15" t="s">
        <v>2281</v>
      </c>
      <c r="K19" s="15" t="s">
        <v>2282</v>
      </c>
      <c r="L19" s="15" t="s">
        <v>2144</v>
      </c>
      <c r="M19" s="15" t="s">
        <v>2283</v>
      </c>
      <c r="N19" s="15" t="s">
        <v>2121</v>
      </c>
    </row>
    <row r="20" spans="1:14" ht="69.75" customHeight="1" x14ac:dyDescent="0.25">
      <c r="A20" s="36" t="s">
        <v>2284</v>
      </c>
      <c r="B20" s="36" t="s">
        <v>2285</v>
      </c>
      <c r="C20" s="36" t="s">
        <v>2286</v>
      </c>
      <c r="D20" s="15" t="s">
        <v>2287</v>
      </c>
      <c r="E20" s="15" t="s">
        <v>2288</v>
      </c>
      <c r="F20" s="15" t="s">
        <v>1944</v>
      </c>
      <c r="G20" s="15" t="s">
        <v>102</v>
      </c>
      <c r="H20" s="15" t="s">
        <v>2289</v>
      </c>
      <c r="I20" s="15" t="s">
        <v>2290</v>
      </c>
      <c r="J20" s="15" t="s">
        <v>1705</v>
      </c>
      <c r="K20" s="15" t="s">
        <v>1952</v>
      </c>
      <c r="L20" s="15" t="s">
        <v>2291</v>
      </c>
      <c r="M20" s="15" t="s">
        <v>2292</v>
      </c>
      <c r="N20" s="15" t="s">
        <v>2121</v>
      </c>
    </row>
    <row r="21" spans="1:14" ht="69.75" customHeight="1" x14ac:dyDescent="0.25">
      <c r="A21" s="36" t="s">
        <v>2293</v>
      </c>
      <c r="B21" s="36" t="s">
        <v>2294</v>
      </c>
      <c r="C21" s="36" t="s">
        <v>2295</v>
      </c>
      <c r="D21" s="15" t="s">
        <v>2296</v>
      </c>
      <c r="E21" s="15" t="s">
        <v>2297</v>
      </c>
      <c r="F21" s="15" t="s">
        <v>2298</v>
      </c>
      <c r="G21" s="15" t="s">
        <v>2299</v>
      </c>
      <c r="H21" s="15" t="s">
        <v>2300</v>
      </c>
      <c r="I21" s="15" t="s">
        <v>2301</v>
      </c>
      <c r="J21" s="15" t="s">
        <v>2302</v>
      </c>
      <c r="K21" s="15" t="s">
        <v>1586</v>
      </c>
      <c r="L21" s="15" t="s">
        <v>1586</v>
      </c>
      <c r="M21" s="15" t="s">
        <v>2303</v>
      </c>
      <c r="N21" s="15" t="s">
        <v>2304</v>
      </c>
    </row>
    <row r="22" spans="1:14" ht="69.75" customHeight="1" x14ac:dyDescent="0.25">
      <c r="A22" s="36" t="s">
        <v>2305</v>
      </c>
      <c r="B22" s="36" t="s">
        <v>1130</v>
      </c>
      <c r="C22" s="36" t="s">
        <v>2306</v>
      </c>
      <c r="D22" s="15" t="s">
        <v>2307</v>
      </c>
      <c r="E22" s="15" t="s">
        <v>2308</v>
      </c>
      <c r="F22" s="15" t="s">
        <v>2277</v>
      </c>
      <c r="G22" s="15" t="s">
        <v>2299</v>
      </c>
      <c r="H22" s="15" t="s">
        <v>2309</v>
      </c>
      <c r="I22" s="15" t="s">
        <v>2290</v>
      </c>
      <c r="J22" s="15" t="s">
        <v>2310</v>
      </c>
      <c r="K22" s="15" t="s">
        <v>1586</v>
      </c>
      <c r="L22" s="15" t="s">
        <v>1586</v>
      </c>
      <c r="M22" s="15" t="s">
        <v>2311</v>
      </c>
      <c r="N22" s="15" t="s">
        <v>2121</v>
      </c>
    </row>
    <row r="23" spans="1:14" ht="69.75" customHeight="1" x14ac:dyDescent="0.25">
      <c r="A23" s="36" t="s">
        <v>2312</v>
      </c>
      <c r="B23" s="36" t="s">
        <v>1130</v>
      </c>
      <c r="C23" s="36" t="s">
        <v>2313</v>
      </c>
      <c r="D23" s="15" t="s">
        <v>2314</v>
      </c>
      <c r="E23" s="15" t="s">
        <v>2315</v>
      </c>
      <c r="F23" s="15" t="s">
        <v>2316</v>
      </c>
      <c r="G23" s="15" t="s">
        <v>2317</v>
      </c>
      <c r="H23" s="15" t="s">
        <v>2318</v>
      </c>
      <c r="I23" s="15" t="s">
        <v>2319</v>
      </c>
      <c r="J23" s="15" t="s">
        <v>2320</v>
      </c>
      <c r="K23" s="15" t="s">
        <v>2321</v>
      </c>
      <c r="L23" s="15" t="s">
        <v>2322</v>
      </c>
      <c r="M23" s="15" t="s">
        <v>2323</v>
      </c>
      <c r="N23" s="15" t="s">
        <v>2121</v>
      </c>
    </row>
    <row r="24" spans="1:14" ht="69.75" customHeight="1" x14ac:dyDescent="0.25">
      <c r="A24" s="36" t="s">
        <v>2324</v>
      </c>
      <c r="B24" s="36" t="s">
        <v>2325</v>
      </c>
      <c r="C24" s="36" t="s">
        <v>2326</v>
      </c>
      <c r="D24" s="15" t="s">
        <v>2327</v>
      </c>
      <c r="E24" s="15" t="s">
        <v>2328</v>
      </c>
      <c r="F24" s="15" t="s">
        <v>2329</v>
      </c>
      <c r="G24" s="15" t="s">
        <v>2330</v>
      </c>
      <c r="H24" s="15" t="s">
        <v>2331</v>
      </c>
      <c r="I24" s="15" t="s">
        <v>2332</v>
      </c>
      <c r="J24" s="15" t="s">
        <v>2333</v>
      </c>
      <c r="K24" s="15" t="s">
        <v>2023</v>
      </c>
      <c r="L24" s="15" t="s">
        <v>1952</v>
      </c>
      <c r="M24" s="15" t="s">
        <v>2334</v>
      </c>
      <c r="N24" s="15" t="s">
        <v>2121</v>
      </c>
    </row>
    <row r="25" spans="1:14" ht="69.75" customHeight="1" x14ac:dyDescent="0.25">
      <c r="A25" s="36" t="s">
        <v>2335</v>
      </c>
      <c r="B25" s="36" t="s">
        <v>2325</v>
      </c>
      <c r="C25" s="36" t="s">
        <v>2336</v>
      </c>
      <c r="D25" s="15" t="s">
        <v>2337</v>
      </c>
      <c r="E25" s="15" t="s">
        <v>2338</v>
      </c>
      <c r="F25" s="15" t="s">
        <v>2339</v>
      </c>
      <c r="G25" s="15" t="s">
        <v>2340</v>
      </c>
      <c r="H25" s="15" t="s">
        <v>2341</v>
      </c>
      <c r="I25" s="15" t="s">
        <v>2342</v>
      </c>
      <c r="J25" s="15" t="s">
        <v>2343</v>
      </c>
      <c r="K25" s="15" t="s">
        <v>1940</v>
      </c>
      <c r="L25" s="15" t="s">
        <v>2144</v>
      </c>
      <c r="M25" s="15" t="s">
        <v>2344</v>
      </c>
      <c r="N25" s="15" t="s">
        <v>2121</v>
      </c>
    </row>
    <row r="26" spans="1:14" ht="69.75" customHeight="1" x14ac:dyDescent="0.25">
      <c r="A26" s="36" t="s">
        <v>2345</v>
      </c>
      <c r="B26" s="36" t="s">
        <v>2325</v>
      </c>
      <c r="C26" s="36" t="s">
        <v>2346</v>
      </c>
      <c r="D26" s="15" t="s">
        <v>2347</v>
      </c>
      <c r="E26" s="15" t="s">
        <v>2348</v>
      </c>
      <c r="F26" s="15" t="s">
        <v>2349</v>
      </c>
      <c r="G26" s="15" t="s">
        <v>2350</v>
      </c>
      <c r="H26" s="15" t="s">
        <v>2351</v>
      </c>
      <c r="I26" s="15" t="s">
        <v>2352</v>
      </c>
      <c r="J26" s="15" t="s">
        <v>2353</v>
      </c>
      <c r="K26" s="15" t="s">
        <v>1927</v>
      </c>
      <c r="L26" s="15" t="s">
        <v>2354</v>
      </c>
      <c r="M26" s="15" t="s">
        <v>2355</v>
      </c>
      <c r="N26" s="15" t="s">
        <v>2121</v>
      </c>
    </row>
    <row r="27" spans="1:14" ht="69.75" customHeight="1" x14ac:dyDescent="0.25">
      <c r="A27" s="36" t="s">
        <v>2356</v>
      </c>
      <c r="B27" s="36" t="s">
        <v>2357</v>
      </c>
      <c r="C27" s="36" t="s">
        <v>1470</v>
      </c>
      <c r="D27" s="15" t="s">
        <v>2358</v>
      </c>
      <c r="E27" s="15" t="s">
        <v>2359</v>
      </c>
      <c r="F27" s="15" t="s">
        <v>1967</v>
      </c>
      <c r="G27" s="15" t="s">
        <v>94</v>
      </c>
      <c r="H27" s="15" t="s">
        <v>2360</v>
      </c>
      <c r="I27" s="15" t="s">
        <v>2361</v>
      </c>
      <c r="J27" s="15" t="s">
        <v>2362</v>
      </c>
      <c r="K27" s="15" t="s">
        <v>2363</v>
      </c>
      <c r="L27" s="15" t="s">
        <v>1725</v>
      </c>
      <c r="M27" s="15" t="s">
        <v>2364</v>
      </c>
      <c r="N27" s="15" t="s">
        <v>2365</v>
      </c>
    </row>
    <row r="28" spans="1:14" ht="69.75" customHeight="1" x14ac:dyDescent="0.25">
      <c r="A28" s="36" t="s">
        <v>2366</v>
      </c>
      <c r="B28" s="36" t="s">
        <v>2367</v>
      </c>
      <c r="C28" s="36" t="s">
        <v>2368</v>
      </c>
      <c r="D28" s="15" t="s">
        <v>2369</v>
      </c>
      <c r="E28" s="15" t="s">
        <v>2370</v>
      </c>
      <c r="F28" s="15" t="s">
        <v>2028</v>
      </c>
      <c r="G28" s="15" t="s">
        <v>138</v>
      </c>
      <c r="H28" s="15" t="s">
        <v>2371</v>
      </c>
      <c r="I28" s="15" t="s">
        <v>2372</v>
      </c>
      <c r="J28" s="15" t="s">
        <v>2373</v>
      </c>
      <c r="K28" s="15" t="s">
        <v>1784</v>
      </c>
      <c r="L28" s="15" t="s">
        <v>2374</v>
      </c>
      <c r="M28" s="15" t="s">
        <v>2375</v>
      </c>
      <c r="N28" s="15" t="s">
        <v>2376</v>
      </c>
    </row>
    <row r="29" spans="1:14" ht="69.75" customHeight="1" x14ac:dyDescent="0.25">
      <c r="A29" s="36" t="s">
        <v>2377</v>
      </c>
      <c r="B29" s="36" t="s">
        <v>2378</v>
      </c>
      <c r="C29" s="36" t="s">
        <v>2379</v>
      </c>
      <c r="D29" s="15" t="s">
        <v>2380</v>
      </c>
      <c r="E29" s="15" t="s">
        <v>2381</v>
      </c>
      <c r="F29" s="15" t="s">
        <v>2028</v>
      </c>
      <c r="G29" s="15" t="s">
        <v>138</v>
      </c>
      <c r="H29" s="15" t="s">
        <v>2382</v>
      </c>
      <c r="I29" s="15" t="s">
        <v>2372</v>
      </c>
      <c r="J29" s="15" t="s">
        <v>2373</v>
      </c>
      <c r="K29" s="15" t="s">
        <v>2383</v>
      </c>
      <c r="L29" s="15" t="s">
        <v>2384</v>
      </c>
      <c r="M29" s="15" t="s">
        <v>2385</v>
      </c>
      <c r="N29" s="15" t="s">
        <v>1378</v>
      </c>
    </row>
    <row r="30" spans="1:14" ht="69.75" customHeight="1" x14ac:dyDescent="0.25">
      <c r="A30" s="36" t="s">
        <v>2386</v>
      </c>
      <c r="B30" s="36" t="s">
        <v>2378</v>
      </c>
      <c r="C30" s="36" t="s">
        <v>2387</v>
      </c>
      <c r="D30" s="15" t="s">
        <v>2388</v>
      </c>
      <c r="E30" s="15" t="s">
        <v>2389</v>
      </c>
      <c r="F30" s="15" t="s">
        <v>2028</v>
      </c>
      <c r="G30" s="15" t="s">
        <v>138</v>
      </c>
      <c r="H30" s="15" t="s">
        <v>2390</v>
      </c>
      <c r="I30" s="15" t="s">
        <v>2391</v>
      </c>
      <c r="J30" s="15" t="s">
        <v>2392</v>
      </c>
      <c r="K30" s="15" t="s">
        <v>2383</v>
      </c>
      <c r="L30" s="15" t="s">
        <v>2393</v>
      </c>
      <c r="M30" s="15" t="s">
        <v>2394</v>
      </c>
      <c r="N30" s="15" t="s">
        <v>1378</v>
      </c>
    </row>
    <row r="31" spans="1:14" ht="69.75" customHeight="1" x14ac:dyDescent="0.25">
      <c r="A31" s="36" t="s">
        <v>2395</v>
      </c>
      <c r="B31" s="36" t="s">
        <v>2378</v>
      </c>
      <c r="C31" s="36" t="s">
        <v>2396</v>
      </c>
      <c r="D31" s="15" t="s">
        <v>2397</v>
      </c>
      <c r="E31" s="15" t="s">
        <v>2398</v>
      </c>
      <c r="F31" s="15" t="s">
        <v>2028</v>
      </c>
      <c r="G31" s="15" t="s">
        <v>138</v>
      </c>
      <c r="H31" s="15" t="s">
        <v>2399</v>
      </c>
      <c r="I31" s="15" t="s">
        <v>2372</v>
      </c>
      <c r="J31" s="15" t="s">
        <v>2400</v>
      </c>
      <c r="K31" s="15" t="s">
        <v>2401</v>
      </c>
      <c r="L31" s="15" t="s">
        <v>2402</v>
      </c>
      <c r="M31" s="15" t="s">
        <v>2403</v>
      </c>
      <c r="N31" s="15" t="s">
        <v>2404</v>
      </c>
    </row>
    <row r="32" spans="1:14" ht="69.75" customHeight="1" x14ac:dyDescent="0.25">
      <c r="A32" s="36" t="s">
        <v>2405</v>
      </c>
      <c r="B32" s="36" t="s">
        <v>2378</v>
      </c>
      <c r="C32" s="36" t="s">
        <v>2406</v>
      </c>
      <c r="D32" s="15" t="s">
        <v>2407</v>
      </c>
      <c r="E32" s="15" t="s">
        <v>2408</v>
      </c>
      <c r="F32" s="15" t="s">
        <v>2028</v>
      </c>
      <c r="G32" s="15" t="s">
        <v>138</v>
      </c>
      <c r="H32" s="15" t="s">
        <v>2409</v>
      </c>
      <c r="I32" s="15" t="s">
        <v>2410</v>
      </c>
      <c r="J32" s="15" t="s">
        <v>2411</v>
      </c>
      <c r="K32" s="15" t="s">
        <v>2412</v>
      </c>
      <c r="L32" s="15" t="s">
        <v>2402</v>
      </c>
      <c r="M32" s="15" t="s">
        <v>2413</v>
      </c>
      <c r="N32" s="15" t="s">
        <v>2414</v>
      </c>
    </row>
    <row r="33" spans="1:14" ht="69.75" customHeight="1" x14ac:dyDescent="0.25">
      <c r="A33" s="36" t="s">
        <v>2415</v>
      </c>
      <c r="B33" s="36" t="s">
        <v>2416</v>
      </c>
      <c r="C33" s="36" t="s">
        <v>2417</v>
      </c>
      <c r="D33" s="15" t="s">
        <v>2418</v>
      </c>
      <c r="E33" s="15" t="s">
        <v>2419</v>
      </c>
      <c r="F33" s="15" t="s">
        <v>2420</v>
      </c>
      <c r="G33" s="15" t="s">
        <v>2421</v>
      </c>
      <c r="H33" s="15" t="s">
        <v>2422</v>
      </c>
      <c r="I33" s="15" t="s">
        <v>2423</v>
      </c>
      <c r="J33" s="15" t="s">
        <v>2424</v>
      </c>
      <c r="K33" s="15" t="s">
        <v>2412</v>
      </c>
      <c r="L33" s="15" t="s">
        <v>2425</v>
      </c>
      <c r="M33" s="15" t="s">
        <v>2426</v>
      </c>
      <c r="N33" s="15" t="s">
        <v>2427</v>
      </c>
    </row>
    <row r="34" spans="1:14" ht="69.75" customHeight="1" x14ac:dyDescent="0.25">
      <c r="A34" s="36" t="s">
        <v>2428</v>
      </c>
      <c r="B34" s="36" t="s">
        <v>2429</v>
      </c>
      <c r="C34" s="36" t="s">
        <v>2430</v>
      </c>
      <c r="D34" s="15" t="s">
        <v>2431</v>
      </c>
      <c r="E34" s="15" t="s">
        <v>2432</v>
      </c>
      <c r="F34" s="15" t="s">
        <v>2028</v>
      </c>
      <c r="G34" s="15" t="s">
        <v>138</v>
      </c>
      <c r="H34" s="15" t="s">
        <v>2433</v>
      </c>
      <c r="I34" s="15" t="s">
        <v>2434</v>
      </c>
      <c r="J34" s="15" t="s">
        <v>2435</v>
      </c>
      <c r="K34" s="15" t="s">
        <v>2412</v>
      </c>
      <c r="L34" s="15" t="s">
        <v>2436</v>
      </c>
      <c r="M34" s="15" t="s">
        <v>2437</v>
      </c>
      <c r="N34" s="15" t="s">
        <v>2438</v>
      </c>
    </row>
  </sheetData>
  <mergeCells count="2">
    <mergeCell ref="A1:N1"/>
    <mergeCell ref="A2:N2"/>
  </mergeCells>
  <pageMargins left="0.7" right="0.7" top="0.75" bottom="0.75"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2"/>
  <sheetViews>
    <sheetView zoomScaleNormal="100" workbookViewId="0"/>
  </sheetViews>
  <sheetFormatPr defaultColWidth="8.6328125" defaultRowHeight="14.5" x14ac:dyDescent="0.35"/>
  <cols>
    <col min="1" max="2" width="34" style="12" customWidth="1"/>
    <col min="3" max="3" width="20" style="12" customWidth="1"/>
    <col min="4" max="4" width="22" style="12" customWidth="1"/>
    <col min="5" max="5" width="34" style="12" customWidth="1"/>
    <col min="6" max="6" width="52" style="12" customWidth="1"/>
    <col min="7" max="7" width="32" style="12" customWidth="1"/>
    <col min="8" max="8" width="34" style="12" customWidth="1"/>
    <col min="9" max="9" width="18" style="12" customWidth="1"/>
    <col min="10" max="10" width="34" style="12" customWidth="1"/>
  </cols>
  <sheetData>
    <row r="1" spans="1:10" ht="20.9" customHeight="1" x14ac:dyDescent="0.25">
      <c r="A1" s="6" t="s">
        <v>2439</v>
      </c>
      <c r="B1" s="6"/>
      <c r="C1" s="6"/>
      <c r="D1" s="6"/>
      <c r="E1" s="6"/>
      <c r="F1" s="6"/>
      <c r="G1" s="6"/>
      <c r="H1" s="6"/>
      <c r="I1" s="6"/>
      <c r="J1" s="6"/>
    </row>
    <row r="2" spans="1:10" ht="15" customHeight="1" x14ac:dyDescent="0.35">
      <c r="A2" s="5" t="s">
        <v>2440</v>
      </c>
      <c r="B2" s="5"/>
      <c r="C2" s="5"/>
      <c r="D2" s="5"/>
      <c r="E2" s="5"/>
      <c r="F2" s="5"/>
      <c r="G2" s="5"/>
      <c r="H2" s="5"/>
      <c r="I2" s="5"/>
      <c r="J2" s="5"/>
    </row>
    <row r="4" spans="1:10" x14ac:dyDescent="0.25">
      <c r="A4" s="14" t="s">
        <v>2441</v>
      </c>
      <c r="B4" s="14" t="s">
        <v>2442</v>
      </c>
      <c r="C4" s="14" t="s">
        <v>2443</v>
      </c>
      <c r="D4" s="14" t="s">
        <v>2444</v>
      </c>
      <c r="E4" s="14" t="s">
        <v>2445</v>
      </c>
      <c r="F4" s="14" t="s">
        <v>2446</v>
      </c>
      <c r="G4" s="14" t="s">
        <v>249</v>
      </c>
      <c r="H4" s="14" t="s">
        <v>2447</v>
      </c>
      <c r="I4" s="14" t="s">
        <v>233</v>
      </c>
      <c r="J4" s="14" t="s">
        <v>261</v>
      </c>
    </row>
    <row r="5" spans="1:10" ht="57.75" customHeight="1" x14ac:dyDescent="0.25">
      <c r="A5" s="36" t="s">
        <v>2448</v>
      </c>
      <c r="B5" s="15" t="s">
        <v>2449</v>
      </c>
      <c r="C5" s="15" t="s">
        <v>69</v>
      </c>
      <c r="D5" s="15" t="s">
        <v>2450</v>
      </c>
      <c r="E5" s="15" t="s">
        <v>2451</v>
      </c>
      <c r="F5" s="15" t="s">
        <v>2452</v>
      </c>
      <c r="G5" s="15" t="s">
        <v>2453</v>
      </c>
      <c r="H5" s="15" t="s">
        <v>2454</v>
      </c>
      <c r="I5" s="15" t="s">
        <v>1594</v>
      </c>
      <c r="J5" s="15" t="s">
        <v>2455</v>
      </c>
    </row>
    <row r="6" spans="1:10" ht="57.75" customHeight="1" x14ac:dyDescent="0.25">
      <c r="A6" s="36" t="s">
        <v>2456</v>
      </c>
      <c r="B6" s="15" t="s">
        <v>2457</v>
      </c>
      <c r="C6" s="15" t="s">
        <v>2458</v>
      </c>
      <c r="D6" s="15" t="s">
        <v>2459</v>
      </c>
      <c r="E6" s="15" t="s">
        <v>2460</v>
      </c>
      <c r="F6" s="15" t="s">
        <v>2461</v>
      </c>
      <c r="G6" s="15" t="s">
        <v>2462</v>
      </c>
      <c r="H6" s="15" t="s">
        <v>2463</v>
      </c>
      <c r="I6" s="15" t="s">
        <v>1594</v>
      </c>
      <c r="J6" s="15" t="s">
        <v>2464</v>
      </c>
    </row>
    <row r="7" spans="1:10" ht="57.75" customHeight="1" x14ac:dyDescent="0.25">
      <c r="A7" s="36" t="s">
        <v>2465</v>
      </c>
      <c r="B7" s="15" t="s">
        <v>2466</v>
      </c>
      <c r="C7" s="15" t="s">
        <v>2467</v>
      </c>
      <c r="D7" s="15" t="s">
        <v>170</v>
      </c>
      <c r="E7" s="15" t="s">
        <v>2468</v>
      </c>
      <c r="F7" s="15" t="s">
        <v>2469</v>
      </c>
      <c r="G7" s="15" t="s">
        <v>2470</v>
      </c>
      <c r="H7" s="15" t="s">
        <v>2471</v>
      </c>
      <c r="I7" s="15" t="s">
        <v>1594</v>
      </c>
      <c r="J7" s="15" t="s">
        <v>2472</v>
      </c>
    </row>
    <row r="8" spans="1:10" ht="57.75" customHeight="1" x14ac:dyDescent="0.25">
      <c r="A8" s="36" t="s">
        <v>2473</v>
      </c>
      <c r="B8" s="15" t="s">
        <v>2474</v>
      </c>
      <c r="C8" s="15" t="s">
        <v>2475</v>
      </c>
      <c r="D8" s="15" t="s">
        <v>69</v>
      </c>
      <c r="E8" s="15" t="s">
        <v>2476</v>
      </c>
      <c r="F8" s="15" t="s">
        <v>2477</v>
      </c>
      <c r="G8" s="15" t="s">
        <v>2478</v>
      </c>
      <c r="H8" s="15" t="s">
        <v>2479</v>
      </c>
      <c r="I8" s="15" t="s">
        <v>1594</v>
      </c>
      <c r="J8" s="15" t="s">
        <v>2480</v>
      </c>
    </row>
    <row r="9" spans="1:10" ht="57.75" customHeight="1" x14ac:dyDescent="0.25">
      <c r="A9" s="36" t="s">
        <v>2481</v>
      </c>
      <c r="B9" s="15" t="s">
        <v>2482</v>
      </c>
      <c r="C9" s="15" t="s">
        <v>111</v>
      </c>
      <c r="D9" s="15" t="s">
        <v>2483</v>
      </c>
      <c r="E9" s="15" t="s">
        <v>2484</v>
      </c>
      <c r="F9" s="15" t="s">
        <v>2485</v>
      </c>
      <c r="G9" s="15" t="s">
        <v>2486</v>
      </c>
      <c r="H9" s="15" t="s">
        <v>2487</v>
      </c>
      <c r="I9" s="15" t="s">
        <v>1594</v>
      </c>
      <c r="J9" s="15" t="s">
        <v>2488</v>
      </c>
    </row>
    <row r="10" spans="1:10" ht="57.75" customHeight="1" x14ac:dyDescent="0.25">
      <c r="A10" s="36" t="s">
        <v>2489</v>
      </c>
      <c r="B10" s="15" t="s">
        <v>2490</v>
      </c>
      <c r="C10" s="15" t="s">
        <v>2491</v>
      </c>
      <c r="D10" s="15" t="s">
        <v>111</v>
      </c>
      <c r="E10" s="15" t="s">
        <v>2492</v>
      </c>
      <c r="F10" s="15" t="s">
        <v>2493</v>
      </c>
      <c r="G10" s="15" t="s">
        <v>2494</v>
      </c>
      <c r="H10" s="15" t="s">
        <v>2495</v>
      </c>
      <c r="I10" s="15" t="s">
        <v>1594</v>
      </c>
      <c r="J10" s="15" t="s">
        <v>2496</v>
      </c>
    </row>
    <row r="11" spans="1:10" ht="57.75" customHeight="1" x14ac:dyDescent="0.25">
      <c r="A11" s="36" t="s">
        <v>2497</v>
      </c>
      <c r="B11" s="15" t="s">
        <v>2498</v>
      </c>
      <c r="C11" s="15" t="s">
        <v>2499</v>
      </c>
      <c r="D11" s="15" t="s">
        <v>129</v>
      </c>
      <c r="E11" s="15" t="s">
        <v>2500</v>
      </c>
      <c r="F11" s="15" t="s">
        <v>2501</v>
      </c>
      <c r="G11" s="15" t="s">
        <v>2502</v>
      </c>
      <c r="H11" s="15" t="s">
        <v>2503</v>
      </c>
      <c r="I11" s="15" t="s">
        <v>1594</v>
      </c>
      <c r="J11" s="15" t="s">
        <v>2504</v>
      </c>
    </row>
    <row r="12" spans="1:10" ht="57.75" customHeight="1" x14ac:dyDescent="0.25">
      <c r="A12" s="36" t="s">
        <v>2505</v>
      </c>
      <c r="B12" s="15" t="s">
        <v>2506</v>
      </c>
      <c r="C12" s="15" t="s">
        <v>2507</v>
      </c>
      <c r="D12" s="15" t="s">
        <v>2508</v>
      </c>
      <c r="E12" s="15" t="s">
        <v>2509</v>
      </c>
      <c r="F12" s="15" t="s">
        <v>2510</v>
      </c>
      <c r="G12" s="15" t="s">
        <v>2511</v>
      </c>
      <c r="H12" s="15" t="s">
        <v>2512</v>
      </c>
      <c r="I12" s="15" t="s">
        <v>1594</v>
      </c>
      <c r="J12" s="15" t="s">
        <v>2513</v>
      </c>
    </row>
    <row r="13" spans="1:10" ht="57.75" customHeight="1" x14ac:dyDescent="0.25">
      <c r="A13" s="36" t="s">
        <v>2514</v>
      </c>
      <c r="B13" s="15" t="s">
        <v>2515</v>
      </c>
      <c r="C13" s="15" t="s">
        <v>138</v>
      </c>
      <c r="D13" s="15" t="s">
        <v>2516</v>
      </c>
      <c r="E13" s="15" t="s">
        <v>2517</v>
      </c>
      <c r="F13" s="15" t="s">
        <v>2518</v>
      </c>
      <c r="G13" s="15" t="s">
        <v>2519</v>
      </c>
      <c r="H13" s="15" t="s">
        <v>2520</v>
      </c>
      <c r="I13" s="15" t="s">
        <v>1594</v>
      </c>
      <c r="J13" s="15" t="s">
        <v>2521</v>
      </c>
    </row>
    <row r="14" spans="1:10" ht="57.75" customHeight="1" x14ac:dyDescent="0.25">
      <c r="A14" s="36" t="s">
        <v>2522</v>
      </c>
      <c r="B14" s="15" t="s">
        <v>2523</v>
      </c>
      <c r="C14" s="15" t="s">
        <v>2524</v>
      </c>
      <c r="D14" s="15" t="s">
        <v>69</v>
      </c>
      <c r="E14" s="15" t="s">
        <v>2525</v>
      </c>
      <c r="F14" s="15" t="s">
        <v>2526</v>
      </c>
      <c r="G14" s="15" t="s">
        <v>2527</v>
      </c>
      <c r="H14" s="15" t="s">
        <v>2528</v>
      </c>
      <c r="I14" s="15" t="s">
        <v>1594</v>
      </c>
      <c r="J14" s="15" t="s">
        <v>2529</v>
      </c>
    </row>
    <row r="15" spans="1:10" ht="57.75" customHeight="1" x14ac:dyDescent="0.25">
      <c r="A15" s="36" t="s">
        <v>2530</v>
      </c>
      <c r="B15" s="15" t="s">
        <v>2531</v>
      </c>
      <c r="C15" s="15" t="s">
        <v>2532</v>
      </c>
      <c r="D15" s="15" t="s">
        <v>94</v>
      </c>
      <c r="E15" s="15" t="s">
        <v>2533</v>
      </c>
      <c r="F15" s="15" t="s">
        <v>2534</v>
      </c>
      <c r="G15" s="15" t="s">
        <v>2535</v>
      </c>
      <c r="H15" s="15" t="s">
        <v>2536</v>
      </c>
      <c r="I15" s="15" t="s">
        <v>1594</v>
      </c>
      <c r="J15" s="15" t="s">
        <v>2537</v>
      </c>
    </row>
    <row r="16" spans="1:10" ht="57.75" customHeight="1" x14ac:dyDescent="0.25">
      <c r="A16" s="36" t="s">
        <v>2538</v>
      </c>
      <c r="B16" s="15" t="s">
        <v>2539</v>
      </c>
      <c r="C16" s="15" t="s">
        <v>2540</v>
      </c>
      <c r="D16" s="15" t="s">
        <v>170</v>
      </c>
      <c r="E16" s="15" t="s">
        <v>2541</v>
      </c>
      <c r="F16" s="15" t="s">
        <v>2542</v>
      </c>
      <c r="G16" s="15" t="s">
        <v>2543</v>
      </c>
      <c r="H16" s="15" t="s">
        <v>2544</v>
      </c>
      <c r="I16" s="15" t="s">
        <v>1594</v>
      </c>
      <c r="J16" s="15" t="s">
        <v>2545</v>
      </c>
    </row>
    <row r="17" spans="1:10" ht="57.75" customHeight="1" x14ac:dyDescent="0.25">
      <c r="A17" s="36" t="s">
        <v>2546</v>
      </c>
      <c r="B17" s="15" t="s">
        <v>2547</v>
      </c>
      <c r="C17" s="15" t="s">
        <v>60</v>
      </c>
      <c r="D17" s="15" t="s">
        <v>2548</v>
      </c>
      <c r="E17" s="15" t="s">
        <v>2549</v>
      </c>
      <c r="F17" s="15" t="s">
        <v>2550</v>
      </c>
      <c r="G17" s="15" t="s">
        <v>2551</v>
      </c>
      <c r="H17" s="15" t="s">
        <v>2552</v>
      </c>
      <c r="I17" s="15" t="s">
        <v>1594</v>
      </c>
      <c r="J17" s="15" t="s">
        <v>2553</v>
      </c>
    </row>
    <row r="18" spans="1:10" ht="57.75" customHeight="1" x14ac:dyDescent="0.25">
      <c r="A18" s="36" t="s">
        <v>2554</v>
      </c>
      <c r="B18" s="15" t="s">
        <v>2555</v>
      </c>
      <c r="C18" s="15" t="s">
        <v>2556</v>
      </c>
      <c r="D18" s="15" t="s">
        <v>129</v>
      </c>
      <c r="E18" s="15" t="s">
        <v>2557</v>
      </c>
      <c r="F18" s="15" t="s">
        <v>2558</v>
      </c>
      <c r="G18" s="15" t="s">
        <v>2559</v>
      </c>
      <c r="H18" s="15" t="s">
        <v>2560</v>
      </c>
      <c r="I18" s="15" t="s">
        <v>1594</v>
      </c>
      <c r="J18" s="15" t="s">
        <v>2561</v>
      </c>
    </row>
    <row r="19" spans="1:10" ht="57.75" customHeight="1" x14ac:dyDescent="0.25">
      <c r="A19" s="36" t="s">
        <v>2562</v>
      </c>
      <c r="B19" s="15" t="s">
        <v>2563</v>
      </c>
      <c r="C19" s="15" t="s">
        <v>155</v>
      </c>
      <c r="D19" s="15" t="s">
        <v>2564</v>
      </c>
      <c r="E19" s="15" t="s">
        <v>2565</v>
      </c>
      <c r="F19" s="15" t="s">
        <v>2566</v>
      </c>
      <c r="G19" s="15" t="s">
        <v>2567</v>
      </c>
      <c r="H19" s="15" t="s">
        <v>2568</v>
      </c>
      <c r="I19" s="15" t="s">
        <v>1814</v>
      </c>
      <c r="J19" s="15" t="s">
        <v>2569</v>
      </c>
    </row>
    <row r="20" spans="1:10" ht="57.75" customHeight="1" x14ac:dyDescent="0.25">
      <c r="A20" s="36" t="s">
        <v>2570</v>
      </c>
      <c r="B20" s="15" t="s">
        <v>2571</v>
      </c>
      <c r="C20" s="15" t="s">
        <v>179</v>
      </c>
      <c r="D20" s="15" t="s">
        <v>2572</v>
      </c>
      <c r="E20" s="15" t="s">
        <v>2573</v>
      </c>
      <c r="F20" s="15" t="s">
        <v>2574</v>
      </c>
      <c r="G20" s="15" t="s">
        <v>2575</v>
      </c>
      <c r="H20" s="15" t="s">
        <v>2576</v>
      </c>
      <c r="I20" s="15" t="s">
        <v>1594</v>
      </c>
      <c r="J20" s="15" t="s">
        <v>2577</v>
      </c>
    </row>
    <row r="21" spans="1:10" ht="57.75" customHeight="1" x14ac:dyDescent="0.25">
      <c r="A21" s="36" t="s">
        <v>2578</v>
      </c>
      <c r="B21" s="15" t="s">
        <v>2579</v>
      </c>
      <c r="C21" s="15" t="s">
        <v>2580</v>
      </c>
      <c r="D21" s="15" t="s">
        <v>85</v>
      </c>
      <c r="E21" s="15" t="s">
        <v>2581</v>
      </c>
      <c r="F21" s="15" t="s">
        <v>2582</v>
      </c>
      <c r="G21" s="15" t="s">
        <v>2583</v>
      </c>
      <c r="H21" s="15" t="s">
        <v>2584</v>
      </c>
      <c r="I21" s="15" t="s">
        <v>1814</v>
      </c>
      <c r="J21" s="15" t="s">
        <v>2585</v>
      </c>
    </row>
    <row r="22" spans="1:10" ht="57.75" customHeight="1" x14ac:dyDescent="0.25">
      <c r="A22" s="36" t="s">
        <v>2586</v>
      </c>
      <c r="B22" s="15" t="s">
        <v>2587</v>
      </c>
      <c r="C22" s="15" t="s">
        <v>2588</v>
      </c>
      <c r="D22" s="15" t="s">
        <v>2589</v>
      </c>
      <c r="E22" s="15" t="s">
        <v>2590</v>
      </c>
      <c r="F22" s="15" t="s">
        <v>2591</v>
      </c>
      <c r="G22" s="15" t="s">
        <v>2592</v>
      </c>
      <c r="H22" s="15" t="s">
        <v>2593</v>
      </c>
      <c r="I22" s="15" t="s">
        <v>1594</v>
      </c>
      <c r="J22" s="15" t="s">
        <v>2594</v>
      </c>
    </row>
  </sheetData>
  <mergeCells count="2">
    <mergeCell ref="A1:J1"/>
    <mergeCell ref="A2:J2"/>
  </mergeCells>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4"/>
  <sheetViews>
    <sheetView zoomScaleNormal="100" workbookViewId="0"/>
  </sheetViews>
  <sheetFormatPr defaultColWidth="8.6328125" defaultRowHeight="14.5" x14ac:dyDescent="0.35"/>
  <cols>
    <col min="1" max="1" width="10" style="12" customWidth="1"/>
    <col min="2" max="2" width="30" style="12" customWidth="1"/>
    <col min="3" max="3" width="18" style="12" customWidth="1"/>
    <col min="4" max="4" width="46" style="12" customWidth="1"/>
    <col min="5" max="5" width="18" style="12" customWidth="1"/>
    <col min="6" max="8" width="34" style="12" customWidth="1"/>
    <col min="9" max="9" width="28" style="12" customWidth="1"/>
    <col min="10" max="10" width="22" style="12" customWidth="1"/>
    <col min="11" max="11" width="30" style="12" customWidth="1"/>
    <col min="12" max="12" width="22" style="12" customWidth="1"/>
  </cols>
  <sheetData>
    <row r="1" spans="1:12" ht="20.9" customHeight="1" x14ac:dyDescent="0.25">
      <c r="A1" s="6" t="s">
        <v>2595</v>
      </c>
      <c r="B1" s="6"/>
      <c r="C1" s="6"/>
      <c r="D1" s="6"/>
      <c r="E1" s="6"/>
      <c r="F1" s="6"/>
      <c r="G1" s="6"/>
      <c r="H1" s="6"/>
      <c r="I1" s="6"/>
      <c r="J1" s="6"/>
      <c r="K1" s="6"/>
      <c r="L1" s="6"/>
    </row>
    <row r="2" spans="1:12" ht="15" customHeight="1" x14ac:dyDescent="0.35">
      <c r="A2" s="5" t="s">
        <v>2596</v>
      </c>
      <c r="B2" s="5"/>
      <c r="C2" s="5"/>
      <c r="D2" s="5"/>
      <c r="E2" s="5"/>
      <c r="F2" s="5"/>
      <c r="G2" s="5"/>
      <c r="H2" s="5"/>
      <c r="I2" s="5"/>
      <c r="J2" s="5"/>
      <c r="K2" s="5"/>
      <c r="L2" s="5"/>
    </row>
    <row r="4" spans="1:12" x14ac:dyDescent="0.25">
      <c r="A4" s="14" t="s">
        <v>2597</v>
      </c>
      <c r="B4" s="14" t="s">
        <v>2598</v>
      </c>
      <c r="C4" s="14" t="s">
        <v>2599</v>
      </c>
      <c r="D4" s="14" t="s">
        <v>2600</v>
      </c>
      <c r="E4" s="14" t="s">
        <v>2601</v>
      </c>
      <c r="F4" s="14" t="s">
        <v>2602</v>
      </c>
      <c r="G4" s="14" t="s">
        <v>2603</v>
      </c>
      <c r="H4" s="14" t="s">
        <v>2604</v>
      </c>
      <c r="I4" s="14" t="s">
        <v>2605</v>
      </c>
      <c r="J4" s="14" t="s">
        <v>2606</v>
      </c>
      <c r="K4" s="14" t="s">
        <v>2607</v>
      </c>
      <c r="L4" s="14" t="s">
        <v>2608</v>
      </c>
    </row>
    <row r="5" spans="1:12" ht="55.5" customHeight="1" x14ac:dyDescent="0.25">
      <c r="A5" s="36" t="s">
        <v>2609</v>
      </c>
      <c r="B5" s="36" t="s">
        <v>2610</v>
      </c>
      <c r="C5" s="15" t="s">
        <v>2611</v>
      </c>
      <c r="D5" s="15" t="s">
        <v>2612</v>
      </c>
      <c r="E5" s="15" t="s">
        <v>2613</v>
      </c>
      <c r="F5" s="15" t="s">
        <v>2614</v>
      </c>
      <c r="G5" s="15" t="s">
        <v>2615</v>
      </c>
      <c r="H5" s="15" t="s">
        <v>2616</v>
      </c>
      <c r="I5" s="15" t="s">
        <v>2617</v>
      </c>
      <c r="J5" s="15" t="s">
        <v>2618</v>
      </c>
      <c r="K5" s="15" t="s">
        <v>2619</v>
      </c>
      <c r="L5" s="15" t="s">
        <v>2620</v>
      </c>
    </row>
    <row r="6" spans="1:12" ht="55.5" customHeight="1" x14ac:dyDescent="0.25">
      <c r="A6" s="36" t="s">
        <v>2621</v>
      </c>
      <c r="B6" s="36" t="s">
        <v>2622</v>
      </c>
      <c r="C6" s="15" t="s">
        <v>2623</v>
      </c>
      <c r="D6" s="15" t="s">
        <v>2624</v>
      </c>
      <c r="E6" s="15" t="s">
        <v>2625</v>
      </c>
      <c r="F6" s="15" t="s">
        <v>2626</v>
      </c>
      <c r="G6" s="15" t="s">
        <v>2627</v>
      </c>
      <c r="H6" s="15" t="s">
        <v>2628</v>
      </c>
      <c r="I6" s="15" t="s">
        <v>2629</v>
      </c>
      <c r="J6" s="15" t="s">
        <v>2630</v>
      </c>
      <c r="K6" s="15" t="s">
        <v>2619</v>
      </c>
      <c r="L6" s="15" t="s">
        <v>2631</v>
      </c>
    </row>
    <row r="7" spans="1:12" ht="55.5" customHeight="1" x14ac:dyDescent="0.25">
      <c r="A7" s="36" t="s">
        <v>2632</v>
      </c>
      <c r="B7" s="36" t="s">
        <v>2633</v>
      </c>
      <c r="C7" s="15" t="s">
        <v>2634</v>
      </c>
      <c r="D7" s="15" t="s">
        <v>2635</v>
      </c>
      <c r="E7" s="15" t="s">
        <v>2636</v>
      </c>
      <c r="F7" s="15" t="s">
        <v>2637</v>
      </c>
      <c r="G7" s="15" t="s">
        <v>2638</v>
      </c>
      <c r="H7" s="15" t="s">
        <v>2639</v>
      </c>
      <c r="I7" s="15" t="s">
        <v>2640</v>
      </c>
      <c r="J7" s="15" t="s">
        <v>2618</v>
      </c>
      <c r="K7" s="15" t="s">
        <v>2641</v>
      </c>
      <c r="L7" s="15" t="s">
        <v>2642</v>
      </c>
    </row>
    <row r="8" spans="1:12" ht="55.5" customHeight="1" x14ac:dyDescent="0.25">
      <c r="A8" s="36" t="s">
        <v>2643</v>
      </c>
      <c r="B8" s="36" t="s">
        <v>2644</v>
      </c>
      <c r="C8" s="15" t="s">
        <v>2645</v>
      </c>
      <c r="D8" s="15" t="s">
        <v>2646</v>
      </c>
      <c r="E8" s="15" t="s">
        <v>2647</v>
      </c>
      <c r="F8" s="15" t="s">
        <v>2648</v>
      </c>
      <c r="G8" s="15" t="s">
        <v>2649</v>
      </c>
      <c r="H8" s="15" t="s">
        <v>2650</v>
      </c>
      <c r="I8" s="15" t="s">
        <v>2651</v>
      </c>
      <c r="J8" s="15" t="s">
        <v>2652</v>
      </c>
      <c r="K8" s="15" t="s">
        <v>2641</v>
      </c>
      <c r="L8" s="15" t="s">
        <v>2653</v>
      </c>
    </row>
    <row r="9" spans="1:12" ht="55.5" customHeight="1" x14ac:dyDescent="0.25">
      <c r="A9" s="36" t="s">
        <v>2654</v>
      </c>
      <c r="B9" s="36" t="s">
        <v>2655</v>
      </c>
      <c r="C9" s="15" t="s">
        <v>2645</v>
      </c>
      <c r="D9" s="15" t="s">
        <v>2656</v>
      </c>
      <c r="E9" s="15" t="s">
        <v>2657</v>
      </c>
      <c r="F9" s="15" t="s">
        <v>2658</v>
      </c>
      <c r="G9" s="15" t="s">
        <v>2659</v>
      </c>
      <c r="H9" s="15" t="s">
        <v>2660</v>
      </c>
      <c r="I9" s="15" t="s">
        <v>2651</v>
      </c>
      <c r="J9" s="15" t="s">
        <v>2256</v>
      </c>
      <c r="K9" s="15" t="s">
        <v>2661</v>
      </c>
      <c r="L9" s="15" t="s">
        <v>2662</v>
      </c>
    </row>
    <row r="10" spans="1:12" ht="55.5" customHeight="1" x14ac:dyDescent="0.25">
      <c r="A10" s="36" t="s">
        <v>2663</v>
      </c>
      <c r="B10" s="36" t="s">
        <v>2664</v>
      </c>
      <c r="C10" s="15" t="s">
        <v>2645</v>
      </c>
      <c r="D10" s="15" t="s">
        <v>2665</v>
      </c>
      <c r="E10" s="15" t="s">
        <v>2666</v>
      </c>
      <c r="F10" s="15" t="s">
        <v>2667</v>
      </c>
      <c r="G10" s="15" t="s">
        <v>2668</v>
      </c>
      <c r="H10" s="15" t="s">
        <v>2669</v>
      </c>
      <c r="I10" s="15" t="s">
        <v>2670</v>
      </c>
      <c r="J10" s="15" t="s">
        <v>2671</v>
      </c>
      <c r="K10" s="15" t="s">
        <v>2672</v>
      </c>
      <c r="L10" s="15" t="s">
        <v>2662</v>
      </c>
    </row>
    <row r="11" spans="1:12" ht="55.5" customHeight="1" x14ac:dyDescent="0.25">
      <c r="A11" s="36" t="s">
        <v>2673</v>
      </c>
      <c r="B11" s="36" t="s">
        <v>2674</v>
      </c>
      <c r="C11" s="15" t="s">
        <v>2675</v>
      </c>
      <c r="D11" s="15" t="s">
        <v>2676</v>
      </c>
      <c r="E11" s="15" t="s">
        <v>2677</v>
      </c>
      <c r="F11" s="15" t="s">
        <v>2678</v>
      </c>
      <c r="G11" s="15" t="s">
        <v>2679</v>
      </c>
      <c r="H11" s="15" t="s">
        <v>2680</v>
      </c>
      <c r="I11" s="15" t="s">
        <v>2681</v>
      </c>
      <c r="J11" s="15" t="s">
        <v>77</v>
      </c>
      <c r="K11" s="15" t="s">
        <v>2682</v>
      </c>
      <c r="L11" s="15" t="s">
        <v>2683</v>
      </c>
    </row>
    <row r="12" spans="1:12" ht="55.5" customHeight="1" x14ac:dyDescent="0.25">
      <c r="A12" s="36" t="s">
        <v>2684</v>
      </c>
      <c r="B12" s="36" t="s">
        <v>2685</v>
      </c>
      <c r="C12" s="15" t="s">
        <v>2686</v>
      </c>
      <c r="D12" s="15" t="s">
        <v>2687</v>
      </c>
      <c r="E12" s="15" t="s">
        <v>2688</v>
      </c>
      <c r="F12" s="15" t="s">
        <v>2689</v>
      </c>
      <c r="G12" s="15" t="s">
        <v>2690</v>
      </c>
      <c r="H12" s="15" t="s">
        <v>2691</v>
      </c>
      <c r="I12" s="15" t="s">
        <v>2692</v>
      </c>
      <c r="J12" s="15" t="s">
        <v>2693</v>
      </c>
      <c r="K12" s="15" t="s">
        <v>2694</v>
      </c>
      <c r="L12" s="15" t="s">
        <v>2695</v>
      </c>
    </row>
    <row r="13" spans="1:12" ht="55.5" customHeight="1" x14ac:dyDescent="0.25">
      <c r="A13" s="36" t="s">
        <v>2696</v>
      </c>
      <c r="B13" s="36" t="s">
        <v>2697</v>
      </c>
      <c r="C13" s="15" t="s">
        <v>2686</v>
      </c>
      <c r="D13" s="15" t="s">
        <v>2698</v>
      </c>
      <c r="E13" s="15" t="s">
        <v>2699</v>
      </c>
      <c r="F13" s="15" t="s">
        <v>2700</v>
      </c>
      <c r="G13" s="15" t="s">
        <v>2701</v>
      </c>
      <c r="H13" s="15" t="s">
        <v>2702</v>
      </c>
      <c r="I13" s="15" t="s">
        <v>2703</v>
      </c>
      <c r="J13" s="15" t="s">
        <v>163</v>
      </c>
      <c r="K13" s="15" t="s">
        <v>2704</v>
      </c>
      <c r="L13" s="15" t="s">
        <v>2662</v>
      </c>
    </row>
    <row r="14" spans="1:12" ht="55.5" customHeight="1" x14ac:dyDescent="0.25">
      <c r="A14" s="36" t="s">
        <v>2705</v>
      </c>
      <c r="B14" s="36" t="s">
        <v>2706</v>
      </c>
      <c r="C14" s="15" t="s">
        <v>2707</v>
      </c>
      <c r="D14" s="15" t="s">
        <v>2708</v>
      </c>
      <c r="E14" s="15" t="s">
        <v>2709</v>
      </c>
      <c r="F14" s="15" t="s">
        <v>2710</v>
      </c>
      <c r="G14" s="15" t="s">
        <v>2711</v>
      </c>
      <c r="H14" s="15" t="s">
        <v>2712</v>
      </c>
      <c r="I14" s="15" t="s">
        <v>2713</v>
      </c>
      <c r="J14" s="15" t="s">
        <v>1107</v>
      </c>
      <c r="K14" s="15" t="s">
        <v>2714</v>
      </c>
      <c r="L14" s="15" t="s">
        <v>2715</v>
      </c>
    </row>
    <row r="15" spans="1:12" ht="55.5" customHeight="1" x14ac:dyDescent="0.25">
      <c r="A15" s="36" t="s">
        <v>2716</v>
      </c>
      <c r="B15" s="36" t="s">
        <v>2717</v>
      </c>
      <c r="C15" s="15" t="s">
        <v>2707</v>
      </c>
      <c r="D15" s="15" t="s">
        <v>2718</v>
      </c>
      <c r="E15" s="15" t="s">
        <v>2719</v>
      </c>
      <c r="F15" s="15" t="s">
        <v>2720</v>
      </c>
      <c r="G15" s="15" t="s">
        <v>2721</v>
      </c>
      <c r="H15" s="15" t="s">
        <v>2722</v>
      </c>
      <c r="I15" s="15" t="s">
        <v>2723</v>
      </c>
      <c r="J15" s="15" t="s">
        <v>179</v>
      </c>
      <c r="K15" s="15" t="s">
        <v>2724</v>
      </c>
      <c r="L15" s="15" t="s">
        <v>2725</v>
      </c>
    </row>
    <row r="16" spans="1:12" ht="55.5" customHeight="1" x14ac:dyDescent="0.25">
      <c r="A16" s="36" t="s">
        <v>2726</v>
      </c>
      <c r="B16" s="36" t="s">
        <v>2727</v>
      </c>
      <c r="C16" s="15" t="s">
        <v>1275</v>
      </c>
      <c r="D16" s="15" t="s">
        <v>2728</v>
      </c>
      <c r="E16" s="15" t="s">
        <v>2729</v>
      </c>
      <c r="F16" s="15" t="s">
        <v>2730</v>
      </c>
      <c r="G16" s="15" t="s">
        <v>2731</v>
      </c>
      <c r="H16" s="15" t="s">
        <v>2732</v>
      </c>
      <c r="I16" s="15" t="s">
        <v>2733</v>
      </c>
      <c r="J16" s="15" t="s">
        <v>2734</v>
      </c>
      <c r="K16" s="15" t="s">
        <v>2735</v>
      </c>
      <c r="L16" s="15" t="s">
        <v>2715</v>
      </c>
    </row>
    <row r="17" spans="1:12" ht="55.5" customHeight="1" x14ac:dyDescent="0.25">
      <c r="A17" s="36" t="s">
        <v>2736</v>
      </c>
      <c r="B17" s="36" t="s">
        <v>2737</v>
      </c>
      <c r="C17" s="15" t="s">
        <v>1275</v>
      </c>
      <c r="D17" s="15" t="s">
        <v>2738</v>
      </c>
      <c r="E17" s="15" t="s">
        <v>2739</v>
      </c>
      <c r="F17" s="15" t="s">
        <v>2740</v>
      </c>
      <c r="G17" s="15" t="s">
        <v>2741</v>
      </c>
      <c r="H17" s="15" t="s">
        <v>2742</v>
      </c>
      <c r="I17" s="15" t="s">
        <v>2743</v>
      </c>
      <c r="J17" s="15" t="s">
        <v>2744</v>
      </c>
      <c r="K17" s="15" t="s">
        <v>2745</v>
      </c>
      <c r="L17" s="15" t="s">
        <v>2746</v>
      </c>
    </row>
    <row r="18" spans="1:12" ht="55.5" customHeight="1" x14ac:dyDescent="0.25">
      <c r="A18" s="36" t="s">
        <v>2747</v>
      </c>
      <c r="B18" s="36" t="s">
        <v>2748</v>
      </c>
      <c r="C18" s="15" t="s">
        <v>1528</v>
      </c>
      <c r="D18" s="15" t="s">
        <v>2749</v>
      </c>
      <c r="E18" s="15" t="s">
        <v>2750</v>
      </c>
      <c r="F18" s="15" t="s">
        <v>2751</v>
      </c>
      <c r="G18" s="15" t="s">
        <v>2752</v>
      </c>
      <c r="H18" s="15" t="s">
        <v>2753</v>
      </c>
      <c r="I18" s="15" t="s">
        <v>2754</v>
      </c>
      <c r="J18" s="15" t="s">
        <v>2755</v>
      </c>
      <c r="K18" s="15" t="s">
        <v>2756</v>
      </c>
      <c r="L18" s="15" t="s">
        <v>2715</v>
      </c>
    </row>
    <row r="19" spans="1:12" ht="55.5" customHeight="1" x14ac:dyDescent="0.25">
      <c r="A19" s="36" t="s">
        <v>2757</v>
      </c>
      <c r="B19" s="36" t="s">
        <v>2758</v>
      </c>
      <c r="C19" s="15" t="s">
        <v>1209</v>
      </c>
      <c r="D19" s="15" t="s">
        <v>2759</v>
      </c>
      <c r="E19" s="15" t="s">
        <v>2760</v>
      </c>
      <c r="F19" s="15" t="s">
        <v>2761</v>
      </c>
      <c r="G19" s="15" t="s">
        <v>2762</v>
      </c>
      <c r="H19" s="15" t="s">
        <v>2763</v>
      </c>
      <c r="I19" s="15" t="s">
        <v>2764</v>
      </c>
      <c r="J19" s="15" t="s">
        <v>2765</v>
      </c>
      <c r="K19" s="15" t="s">
        <v>2766</v>
      </c>
      <c r="L19" s="15" t="s">
        <v>2715</v>
      </c>
    </row>
    <row r="20" spans="1:12" ht="55.5" customHeight="1" x14ac:dyDescent="0.25">
      <c r="A20" s="36" t="s">
        <v>2767</v>
      </c>
      <c r="B20" s="36" t="s">
        <v>2768</v>
      </c>
      <c r="C20" s="15" t="s">
        <v>2769</v>
      </c>
      <c r="D20" s="15" t="s">
        <v>2770</v>
      </c>
      <c r="E20" s="15" t="s">
        <v>2771</v>
      </c>
      <c r="F20" s="15" t="s">
        <v>2772</v>
      </c>
      <c r="G20" s="15" t="s">
        <v>2773</v>
      </c>
      <c r="H20" s="15" t="s">
        <v>2774</v>
      </c>
      <c r="I20" s="15" t="s">
        <v>2775</v>
      </c>
      <c r="J20" s="15" t="s">
        <v>2776</v>
      </c>
      <c r="K20" s="15" t="s">
        <v>2777</v>
      </c>
      <c r="L20" s="15" t="s">
        <v>2778</v>
      </c>
    </row>
    <row r="21" spans="1:12" ht="55.5" customHeight="1" x14ac:dyDescent="0.25">
      <c r="A21" s="36" t="s">
        <v>2779</v>
      </c>
      <c r="B21" s="36" t="s">
        <v>2780</v>
      </c>
      <c r="C21" s="15" t="s">
        <v>2781</v>
      </c>
      <c r="D21" s="15" t="s">
        <v>2782</v>
      </c>
      <c r="E21" s="15" t="s">
        <v>2783</v>
      </c>
      <c r="F21" s="15" t="s">
        <v>2784</v>
      </c>
      <c r="G21" s="15" t="s">
        <v>2785</v>
      </c>
      <c r="H21" s="15" t="s">
        <v>2786</v>
      </c>
      <c r="I21" s="15" t="s">
        <v>2787</v>
      </c>
      <c r="J21" s="15" t="s">
        <v>2788</v>
      </c>
      <c r="K21" s="15" t="s">
        <v>2789</v>
      </c>
      <c r="L21" s="15" t="s">
        <v>2662</v>
      </c>
    </row>
    <row r="22" spans="1:12" ht="55.5" customHeight="1" x14ac:dyDescent="0.25">
      <c r="A22" s="36" t="s">
        <v>2790</v>
      </c>
      <c r="B22" s="36" t="s">
        <v>2791</v>
      </c>
      <c r="C22" s="15" t="s">
        <v>2792</v>
      </c>
      <c r="D22" s="15" t="s">
        <v>2793</v>
      </c>
      <c r="E22" s="15" t="s">
        <v>2794</v>
      </c>
      <c r="F22" s="15" t="s">
        <v>2795</v>
      </c>
      <c r="G22" s="15" t="s">
        <v>2796</v>
      </c>
      <c r="H22" s="15" t="s">
        <v>2797</v>
      </c>
      <c r="I22" s="15" t="s">
        <v>2798</v>
      </c>
      <c r="J22" s="15" t="s">
        <v>1107</v>
      </c>
      <c r="K22" s="15" t="s">
        <v>2799</v>
      </c>
      <c r="L22" s="15" t="s">
        <v>2800</v>
      </c>
    </row>
    <row r="23" spans="1:12" ht="55.5" customHeight="1" x14ac:dyDescent="0.25">
      <c r="A23" s="36" t="s">
        <v>2801</v>
      </c>
      <c r="B23" s="36" t="s">
        <v>2802</v>
      </c>
      <c r="C23" s="15" t="s">
        <v>2803</v>
      </c>
      <c r="D23" s="15" t="s">
        <v>2804</v>
      </c>
      <c r="E23" s="15" t="s">
        <v>2805</v>
      </c>
      <c r="F23" s="15" t="s">
        <v>2806</v>
      </c>
      <c r="G23" s="15" t="s">
        <v>2807</v>
      </c>
      <c r="H23" s="15" t="s">
        <v>2808</v>
      </c>
      <c r="I23" s="15" t="s">
        <v>2809</v>
      </c>
      <c r="J23" s="15" t="s">
        <v>1107</v>
      </c>
      <c r="K23" s="15" t="s">
        <v>2810</v>
      </c>
      <c r="L23" s="15" t="s">
        <v>2715</v>
      </c>
    </row>
    <row r="24" spans="1:12" ht="55.5" customHeight="1" x14ac:dyDescent="0.25">
      <c r="A24" s="36" t="s">
        <v>2811</v>
      </c>
      <c r="B24" s="36" t="s">
        <v>2812</v>
      </c>
      <c r="C24" s="15" t="s">
        <v>1373</v>
      </c>
      <c r="D24" s="15" t="s">
        <v>2813</v>
      </c>
      <c r="E24" s="15" t="s">
        <v>2814</v>
      </c>
      <c r="F24" s="15" t="s">
        <v>2815</v>
      </c>
      <c r="G24" s="15" t="s">
        <v>2816</v>
      </c>
      <c r="H24" s="15" t="s">
        <v>2817</v>
      </c>
      <c r="I24" s="15" t="s">
        <v>2818</v>
      </c>
      <c r="J24" s="15" t="s">
        <v>1107</v>
      </c>
      <c r="K24" s="15" t="s">
        <v>2819</v>
      </c>
      <c r="L24" s="15" t="s">
        <v>2715</v>
      </c>
    </row>
  </sheetData>
  <mergeCells count="2">
    <mergeCell ref="A1:L1"/>
    <mergeCell ref="A2:L2"/>
  </mergeCells>
  <pageMargins left="0.7" right="0.7" top="0.75" bottom="0.75"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3"/>
  <sheetViews>
    <sheetView zoomScaleNormal="100" workbookViewId="0"/>
  </sheetViews>
  <sheetFormatPr defaultColWidth="8.6328125" defaultRowHeight="14.5" x14ac:dyDescent="0.35"/>
  <cols>
    <col min="1" max="1" width="42" style="12" customWidth="1"/>
    <col min="2" max="2" width="52" style="12" customWidth="1"/>
    <col min="3" max="3" width="10" style="12" customWidth="1"/>
    <col min="4" max="4" width="24" style="12" customWidth="1"/>
    <col min="5" max="5" width="26" style="12" customWidth="1"/>
    <col min="6" max="6" width="52" style="12" customWidth="1"/>
    <col min="7" max="7" width="28" style="12" customWidth="1"/>
    <col min="8" max="9" width="48" style="12" customWidth="1"/>
    <col min="10" max="10" width="34" style="12" customWidth="1"/>
    <col min="11" max="11" width="18" style="12" customWidth="1"/>
    <col min="12" max="12" width="38" style="12" customWidth="1"/>
  </cols>
  <sheetData>
    <row r="1" spans="1:12" ht="20.9" customHeight="1" x14ac:dyDescent="0.25">
      <c r="A1" s="6" t="s">
        <v>2820</v>
      </c>
      <c r="B1" s="6"/>
      <c r="C1" s="6"/>
      <c r="D1" s="6"/>
      <c r="E1" s="6"/>
      <c r="F1" s="6"/>
      <c r="G1" s="6"/>
      <c r="H1" s="6"/>
      <c r="I1" s="6"/>
      <c r="J1" s="6"/>
      <c r="K1" s="6"/>
      <c r="L1" s="6"/>
    </row>
    <row r="2" spans="1:12" ht="15" customHeight="1" x14ac:dyDescent="0.35">
      <c r="A2" s="5" t="s">
        <v>2821</v>
      </c>
      <c r="B2" s="5"/>
      <c r="C2" s="5"/>
      <c r="D2" s="5"/>
      <c r="E2" s="5"/>
      <c r="F2" s="5"/>
      <c r="G2" s="5"/>
      <c r="H2" s="5"/>
      <c r="I2" s="5"/>
      <c r="J2" s="5"/>
      <c r="K2" s="5"/>
      <c r="L2" s="5"/>
    </row>
    <row r="4" spans="1:12" x14ac:dyDescent="0.25">
      <c r="A4" s="14" t="s">
        <v>2822</v>
      </c>
      <c r="B4" s="14" t="s">
        <v>2823</v>
      </c>
      <c r="C4" s="14" t="s">
        <v>246</v>
      </c>
      <c r="D4" s="14" t="s">
        <v>2824</v>
      </c>
      <c r="E4" s="14" t="s">
        <v>2825</v>
      </c>
      <c r="F4" s="14" t="s">
        <v>2826</v>
      </c>
      <c r="G4" s="14" t="s">
        <v>2827</v>
      </c>
      <c r="H4" s="14" t="s">
        <v>2828</v>
      </c>
      <c r="I4" s="14" t="s">
        <v>2829</v>
      </c>
      <c r="J4" s="14" t="s">
        <v>2830</v>
      </c>
      <c r="K4" s="14" t="s">
        <v>2831</v>
      </c>
      <c r="L4" s="14" t="s">
        <v>261</v>
      </c>
    </row>
    <row r="5" spans="1:12" ht="67.5" customHeight="1" x14ac:dyDescent="0.25">
      <c r="A5" s="36" t="s">
        <v>1378</v>
      </c>
      <c r="B5" s="15" t="s">
        <v>2832</v>
      </c>
      <c r="C5" s="15" t="s">
        <v>800</v>
      </c>
      <c r="D5" s="15" t="s">
        <v>2833</v>
      </c>
      <c r="E5" s="15" t="s">
        <v>2834</v>
      </c>
      <c r="F5" s="15" t="s">
        <v>2835</v>
      </c>
      <c r="G5" s="15" t="s">
        <v>2836</v>
      </c>
      <c r="H5" s="15" t="s">
        <v>2837</v>
      </c>
      <c r="I5" s="15" t="s">
        <v>2838</v>
      </c>
      <c r="J5" s="15" t="s">
        <v>2839</v>
      </c>
      <c r="K5" s="15" t="s">
        <v>2840</v>
      </c>
      <c r="L5" s="15" t="s">
        <v>2841</v>
      </c>
    </row>
    <row r="6" spans="1:12" ht="67.5" customHeight="1" x14ac:dyDescent="0.25">
      <c r="A6" s="36" t="s">
        <v>2121</v>
      </c>
      <c r="B6" s="15" t="s">
        <v>2842</v>
      </c>
      <c r="C6" s="15" t="s">
        <v>2843</v>
      </c>
      <c r="D6" s="15" t="s">
        <v>2844</v>
      </c>
      <c r="E6" s="15" t="s">
        <v>2845</v>
      </c>
      <c r="F6" s="15" t="s">
        <v>2846</v>
      </c>
      <c r="G6" s="15" t="s">
        <v>2847</v>
      </c>
      <c r="H6" s="15" t="s">
        <v>2848</v>
      </c>
      <c r="I6" s="15" t="s">
        <v>2849</v>
      </c>
      <c r="J6" s="15" t="s">
        <v>2850</v>
      </c>
      <c r="K6" s="15" t="s">
        <v>2851</v>
      </c>
      <c r="L6" s="15" t="s">
        <v>2852</v>
      </c>
    </row>
    <row r="7" spans="1:12" ht="67.5" customHeight="1" x14ac:dyDescent="0.25">
      <c r="A7" s="36" t="s">
        <v>2853</v>
      </c>
      <c r="B7" s="15" t="s">
        <v>2854</v>
      </c>
      <c r="C7" s="15" t="s">
        <v>990</v>
      </c>
      <c r="D7" s="15" t="s">
        <v>2855</v>
      </c>
      <c r="E7" s="15" t="s">
        <v>2856</v>
      </c>
      <c r="F7" s="15" t="s">
        <v>2857</v>
      </c>
      <c r="G7" s="15" t="s">
        <v>2858</v>
      </c>
      <c r="H7" s="15" t="s">
        <v>2859</v>
      </c>
      <c r="I7" s="15" t="s">
        <v>2860</v>
      </c>
      <c r="J7" s="15" t="s">
        <v>2861</v>
      </c>
      <c r="K7" s="15" t="s">
        <v>238</v>
      </c>
      <c r="L7" s="15" t="s">
        <v>2862</v>
      </c>
    </row>
    <row r="8" spans="1:12" ht="67.5" customHeight="1" x14ac:dyDescent="0.25">
      <c r="A8" s="36" t="s">
        <v>2863</v>
      </c>
      <c r="B8" s="15" t="s">
        <v>2864</v>
      </c>
      <c r="C8" s="15" t="s">
        <v>800</v>
      </c>
      <c r="D8" s="15" t="s">
        <v>2844</v>
      </c>
      <c r="E8" s="15" t="s">
        <v>2865</v>
      </c>
      <c r="F8" s="15" t="s">
        <v>2866</v>
      </c>
      <c r="G8" s="15" t="s">
        <v>2867</v>
      </c>
      <c r="H8" s="15" t="s">
        <v>2868</v>
      </c>
      <c r="I8" s="15" t="s">
        <v>2869</v>
      </c>
      <c r="J8" s="15" t="s">
        <v>2870</v>
      </c>
      <c r="K8" s="15" t="s">
        <v>1814</v>
      </c>
      <c r="L8" s="15" t="s">
        <v>2871</v>
      </c>
    </row>
    <row r="9" spans="1:12" ht="67.5" customHeight="1" x14ac:dyDescent="0.25">
      <c r="A9" s="37" t="s">
        <v>2404</v>
      </c>
      <c r="B9" s="38" t="s">
        <v>2872</v>
      </c>
      <c r="C9" s="38" t="s">
        <v>813</v>
      </c>
      <c r="D9" s="38" t="s">
        <v>2873</v>
      </c>
      <c r="E9" s="38" t="s">
        <v>2874</v>
      </c>
      <c r="F9" s="38" t="s">
        <v>2875</v>
      </c>
      <c r="G9" s="38" t="s">
        <v>2858</v>
      </c>
      <c r="H9" s="38" t="s">
        <v>2876</v>
      </c>
      <c r="I9" s="38" t="s">
        <v>2877</v>
      </c>
      <c r="J9" s="38" t="s">
        <v>2878</v>
      </c>
      <c r="K9" s="38" t="s">
        <v>2851</v>
      </c>
      <c r="L9" s="38" t="s">
        <v>2879</v>
      </c>
    </row>
    <row r="10" spans="1:12" ht="67.5" customHeight="1" x14ac:dyDescent="0.25">
      <c r="A10" s="36" t="s">
        <v>2146</v>
      </c>
      <c r="B10" s="15" t="s">
        <v>2880</v>
      </c>
      <c r="C10" s="15" t="s">
        <v>772</v>
      </c>
      <c r="D10" s="15" t="s">
        <v>2881</v>
      </c>
      <c r="E10" s="15" t="s">
        <v>2882</v>
      </c>
      <c r="F10" s="15" t="s">
        <v>2883</v>
      </c>
      <c r="G10" s="15" t="s">
        <v>2884</v>
      </c>
      <c r="H10" s="15" t="s">
        <v>2885</v>
      </c>
      <c r="I10" s="15" t="s">
        <v>2886</v>
      </c>
      <c r="J10" s="15" t="s">
        <v>2887</v>
      </c>
      <c r="K10" s="15" t="s">
        <v>1814</v>
      </c>
      <c r="L10" s="15" t="s">
        <v>2888</v>
      </c>
    </row>
    <row r="11" spans="1:12" ht="67.5" customHeight="1" x14ac:dyDescent="0.25">
      <c r="A11" s="36" t="s">
        <v>2889</v>
      </c>
      <c r="B11" s="15" t="s">
        <v>2890</v>
      </c>
      <c r="C11" s="15" t="s">
        <v>1003</v>
      </c>
      <c r="D11" s="15" t="s">
        <v>2891</v>
      </c>
      <c r="E11" s="15" t="s">
        <v>2892</v>
      </c>
      <c r="F11" s="15" t="s">
        <v>2893</v>
      </c>
      <c r="G11" s="15" t="s">
        <v>2894</v>
      </c>
      <c r="H11" s="15" t="s">
        <v>2895</v>
      </c>
      <c r="I11" s="15" t="s">
        <v>2896</v>
      </c>
      <c r="J11" s="15" t="s">
        <v>2897</v>
      </c>
      <c r="K11" s="15" t="s">
        <v>1594</v>
      </c>
      <c r="L11" s="15" t="s">
        <v>2898</v>
      </c>
    </row>
    <row r="12" spans="1:12" ht="67.5" customHeight="1" x14ac:dyDescent="0.25">
      <c r="A12" s="36" t="s">
        <v>2201</v>
      </c>
      <c r="B12" s="15" t="s">
        <v>2899</v>
      </c>
      <c r="C12" s="15" t="s">
        <v>270</v>
      </c>
      <c r="D12" s="15" t="s">
        <v>2900</v>
      </c>
      <c r="E12" s="15" t="s">
        <v>2901</v>
      </c>
      <c r="F12" s="15" t="s">
        <v>2902</v>
      </c>
      <c r="G12" s="15" t="s">
        <v>2903</v>
      </c>
      <c r="H12" s="15" t="s">
        <v>2904</v>
      </c>
      <c r="I12" s="15" t="s">
        <v>2905</v>
      </c>
      <c r="J12" s="15" t="s">
        <v>2906</v>
      </c>
      <c r="K12" s="15" t="s">
        <v>1594</v>
      </c>
      <c r="L12" s="15" t="s">
        <v>2907</v>
      </c>
    </row>
    <row r="13" spans="1:12" ht="67.5" customHeight="1" x14ac:dyDescent="0.25">
      <c r="A13" s="36" t="s">
        <v>2908</v>
      </c>
      <c r="B13" s="15" t="s">
        <v>2909</v>
      </c>
      <c r="C13" s="15" t="s">
        <v>270</v>
      </c>
      <c r="D13" s="15" t="s">
        <v>2910</v>
      </c>
      <c r="E13" s="15" t="s">
        <v>2856</v>
      </c>
      <c r="F13" s="15" t="s">
        <v>2911</v>
      </c>
      <c r="G13" s="15" t="s">
        <v>2912</v>
      </c>
      <c r="H13" s="15" t="s">
        <v>2913</v>
      </c>
      <c r="I13" s="15" t="s">
        <v>2914</v>
      </c>
      <c r="J13" s="15" t="s">
        <v>2915</v>
      </c>
      <c r="K13" s="15" t="s">
        <v>238</v>
      </c>
      <c r="L13" s="15" t="s">
        <v>2916</v>
      </c>
    </row>
    <row r="14" spans="1:12" ht="67.5" customHeight="1" x14ac:dyDescent="0.25">
      <c r="A14" s="36" t="s">
        <v>2414</v>
      </c>
      <c r="B14" s="15" t="s">
        <v>2917</v>
      </c>
      <c r="C14" s="15" t="s">
        <v>2918</v>
      </c>
      <c r="D14" s="15" t="s">
        <v>2919</v>
      </c>
      <c r="E14" s="15" t="s">
        <v>2920</v>
      </c>
      <c r="F14" s="15" t="s">
        <v>2921</v>
      </c>
      <c r="G14" s="15" t="s">
        <v>2858</v>
      </c>
      <c r="H14" s="15" t="s">
        <v>2922</v>
      </c>
      <c r="I14" s="15" t="s">
        <v>2923</v>
      </c>
      <c r="J14" s="15" t="s">
        <v>2924</v>
      </c>
      <c r="K14" s="15" t="s">
        <v>238</v>
      </c>
      <c r="L14" s="15" t="s">
        <v>2925</v>
      </c>
    </row>
    <row r="15" spans="1:12" ht="67.5" customHeight="1" x14ac:dyDescent="0.25">
      <c r="A15" s="36" t="s">
        <v>2427</v>
      </c>
      <c r="B15" s="15" t="s">
        <v>2926</v>
      </c>
      <c r="C15" s="15" t="s">
        <v>270</v>
      </c>
      <c r="D15" s="15" t="s">
        <v>2910</v>
      </c>
      <c r="E15" s="15" t="s">
        <v>2927</v>
      </c>
      <c r="F15" s="15" t="s">
        <v>2928</v>
      </c>
      <c r="G15" s="15" t="s">
        <v>2929</v>
      </c>
      <c r="H15" s="15" t="s">
        <v>2930</v>
      </c>
      <c r="I15" s="15" t="s">
        <v>2931</v>
      </c>
      <c r="J15" s="15" t="s">
        <v>2932</v>
      </c>
      <c r="K15" s="15" t="s">
        <v>238</v>
      </c>
      <c r="L15" s="15" t="s">
        <v>2933</v>
      </c>
    </row>
    <row r="16" spans="1:12" ht="67.5" customHeight="1" x14ac:dyDescent="0.25">
      <c r="A16" s="39" t="s">
        <v>2934</v>
      </c>
      <c r="B16" s="40" t="s">
        <v>2935</v>
      </c>
      <c r="C16" s="40" t="s">
        <v>2918</v>
      </c>
      <c r="D16" s="40" t="s">
        <v>2936</v>
      </c>
      <c r="E16" s="40" t="s">
        <v>2937</v>
      </c>
      <c r="F16" s="40" t="s">
        <v>2938</v>
      </c>
      <c r="G16" s="40" t="s">
        <v>2939</v>
      </c>
      <c r="H16" s="40" t="s">
        <v>2940</v>
      </c>
      <c r="I16" s="40" t="s">
        <v>2941</v>
      </c>
      <c r="J16" s="40" t="s">
        <v>2942</v>
      </c>
      <c r="K16" s="40" t="s">
        <v>2943</v>
      </c>
      <c r="L16" s="40" t="s">
        <v>2944</v>
      </c>
    </row>
    <row r="17" spans="1:12" ht="67.5" customHeight="1" x14ac:dyDescent="0.25">
      <c r="A17" s="36" t="s">
        <v>2945</v>
      </c>
      <c r="B17" s="15" t="s">
        <v>2946</v>
      </c>
      <c r="C17" s="15" t="s">
        <v>990</v>
      </c>
      <c r="D17" s="15" t="s">
        <v>2844</v>
      </c>
      <c r="E17" s="15" t="s">
        <v>2947</v>
      </c>
      <c r="F17" s="15" t="s">
        <v>2948</v>
      </c>
      <c r="G17" s="15" t="s">
        <v>2949</v>
      </c>
      <c r="H17" s="15" t="s">
        <v>2950</v>
      </c>
      <c r="I17" s="15" t="s">
        <v>2951</v>
      </c>
      <c r="J17" s="15" t="s">
        <v>2952</v>
      </c>
      <c r="K17" s="15" t="s">
        <v>1594</v>
      </c>
      <c r="L17" s="15" t="s">
        <v>2953</v>
      </c>
    </row>
    <row r="18" spans="1:12" ht="67.5" customHeight="1" x14ac:dyDescent="0.25">
      <c r="A18" s="37" t="s">
        <v>2224</v>
      </c>
      <c r="B18" s="38" t="s">
        <v>271</v>
      </c>
      <c r="C18" s="38" t="s">
        <v>270</v>
      </c>
      <c r="D18" s="38" t="s">
        <v>2873</v>
      </c>
      <c r="E18" s="38" t="s">
        <v>2954</v>
      </c>
      <c r="F18" s="38" t="s">
        <v>2955</v>
      </c>
      <c r="G18" s="38" t="s">
        <v>2956</v>
      </c>
      <c r="H18" s="38" t="s">
        <v>2957</v>
      </c>
      <c r="I18" s="38" t="s">
        <v>2958</v>
      </c>
      <c r="J18" s="38" t="s">
        <v>2959</v>
      </c>
      <c r="K18" s="38" t="s">
        <v>2851</v>
      </c>
      <c r="L18" s="38" t="s">
        <v>2960</v>
      </c>
    </row>
    <row r="19" spans="1:12" ht="67.5" customHeight="1" x14ac:dyDescent="0.25">
      <c r="A19" s="37" t="s">
        <v>2961</v>
      </c>
      <c r="B19" s="38" t="s">
        <v>294</v>
      </c>
      <c r="C19" s="38" t="s">
        <v>270</v>
      </c>
      <c r="D19" s="38" t="s">
        <v>2962</v>
      </c>
      <c r="E19" s="38" t="s">
        <v>2963</v>
      </c>
      <c r="F19" s="38" t="s">
        <v>2964</v>
      </c>
      <c r="G19" s="38" t="s">
        <v>2965</v>
      </c>
      <c r="H19" s="38" t="s">
        <v>2966</v>
      </c>
      <c r="I19" s="38" t="s">
        <v>2967</v>
      </c>
      <c r="J19" s="38" t="s">
        <v>2968</v>
      </c>
      <c r="K19" s="38" t="s">
        <v>2851</v>
      </c>
      <c r="L19" s="38" t="s">
        <v>2969</v>
      </c>
    </row>
    <row r="20" spans="1:12" ht="67.5" customHeight="1" x14ac:dyDescent="0.25">
      <c r="A20" s="37" t="s">
        <v>2970</v>
      </c>
      <c r="B20" s="38" t="s">
        <v>2971</v>
      </c>
      <c r="C20" s="38" t="s">
        <v>270</v>
      </c>
      <c r="D20" s="38" t="s">
        <v>2873</v>
      </c>
      <c r="E20" s="38" t="s">
        <v>2972</v>
      </c>
      <c r="F20" s="38" t="s">
        <v>2973</v>
      </c>
      <c r="G20" s="38" t="s">
        <v>2956</v>
      </c>
      <c r="H20" s="38" t="s">
        <v>2974</v>
      </c>
      <c r="I20" s="38" t="s">
        <v>2975</v>
      </c>
      <c r="J20" s="38" t="s">
        <v>2976</v>
      </c>
      <c r="K20" s="38" t="s">
        <v>1594</v>
      </c>
      <c r="L20" s="38" t="s">
        <v>2977</v>
      </c>
    </row>
    <row r="21" spans="1:12" ht="67.5" customHeight="1" x14ac:dyDescent="0.25">
      <c r="A21" s="36" t="s">
        <v>2978</v>
      </c>
      <c r="B21" s="15" t="s">
        <v>2979</v>
      </c>
      <c r="C21" s="15" t="s">
        <v>270</v>
      </c>
      <c r="D21" s="15" t="s">
        <v>2844</v>
      </c>
      <c r="E21" s="15" t="s">
        <v>2980</v>
      </c>
      <c r="F21" s="15" t="s">
        <v>2981</v>
      </c>
      <c r="G21" s="15" t="s">
        <v>2982</v>
      </c>
      <c r="H21" s="15" t="s">
        <v>2983</v>
      </c>
      <c r="I21" s="15" t="s">
        <v>2984</v>
      </c>
      <c r="J21" s="15" t="s">
        <v>2985</v>
      </c>
      <c r="K21" s="15" t="s">
        <v>2851</v>
      </c>
      <c r="L21" s="15" t="s">
        <v>2986</v>
      </c>
    </row>
    <row r="22" spans="1:12" ht="67.5" customHeight="1" x14ac:dyDescent="0.25">
      <c r="A22" s="39" t="s">
        <v>2987</v>
      </c>
      <c r="B22" s="40" t="s">
        <v>2988</v>
      </c>
      <c r="C22" s="40" t="s">
        <v>2918</v>
      </c>
      <c r="D22" s="40" t="s">
        <v>2989</v>
      </c>
      <c r="E22" s="40" t="s">
        <v>1367</v>
      </c>
      <c r="F22" s="40" t="s">
        <v>2990</v>
      </c>
      <c r="G22" s="40" t="s">
        <v>2929</v>
      </c>
      <c r="H22" s="40" t="s">
        <v>2991</v>
      </c>
      <c r="I22" s="40" t="s">
        <v>2992</v>
      </c>
      <c r="J22" s="40" t="s">
        <v>2993</v>
      </c>
      <c r="K22" s="40" t="s">
        <v>240</v>
      </c>
      <c r="L22" s="40" t="s">
        <v>2994</v>
      </c>
    </row>
    <row r="23" spans="1:12" ht="67.5" customHeight="1" x14ac:dyDescent="0.25">
      <c r="A23" s="39" t="s">
        <v>2995</v>
      </c>
      <c r="B23" s="40" t="s">
        <v>2996</v>
      </c>
      <c r="C23" s="40" t="s">
        <v>2918</v>
      </c>
      <c r="D23" s="40" t="s">
        <v>2989</v>
      </c>
      <c r="E23" s="40" t="s">
        <v>1367</v>
      </c>
      <c r="F23" s="40" t="s">
        <v>2997</v>
      </c>
      <c r="G23" s="40" t="s">
        <v>2998</v>
      </c>
      <c r="H23" s="40" t="s">
        <v>2999</v>
      </c>
      <c r="I23" s="40" t="s">
        <v>3000</v>
      </c>
      <c r="J23" s="40" t="s">
        <v>3001</v>
      </c>
      <c r="K23" s="40" t="s">
        <v>240</v>
      </c>
      <c r="L23" s="40" t="s">
        <v>3002</v>
      </c>
    </row>
  </sheetData>
  <mergeCells count="2">
    <mergeCell ref="A1:L1"/>
    <mergeCell ref="A2:L2"/>
  </mergeCells>
  <pageMargins left="0.7" right="0.7" top="0.75" bottom="0.75"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4"/>
  <sheetViews>
    <sheetView zoomScaleNormal="100" workbookViewId="0"/>
  </sheetViews>
  <sheetFormatPr defaultColWidth="8.6328125" defaultRowHeight="14.5" x14ac:dyDescent="0.35"/>
  <cols>
    <col min="1" max="1" width="11" style="12" customWidth="1"/>
    <col min="2" max="2" width="32" style="12" customWidth="1"/>
    <col min="3" max="3" width="24" style="12" customWidth="1"/>
    <col min="4" max="5" width="34" style="12" customWidth="1"/>
    <col min="6" max="6" width="52" style="12" customWidth="1"/>
    <col min="7" max="7" width="42" style="12" customWidth="1"/>
    <col min="8" max="8" width="20" style="12" customWidth="1"/>
    <col min="9" max="9" width="16" style="12" customWidth="1"/>
  </cols>
  <sheetData>
    <row r="1" spans="1:9" ht="20.9" customHeight="1" x14ac:dyDescent="0.25">
      <c r="A1" s="6" t="s">
        <v>3003</v>
      </c>
      <c r="B1" s="6"/>
      <c r="C1" s="6"/>
      <c r="D1" s="6"/>
      <c r="E1" s="6"/>
      <c r="F1" s="6"/>
      <c r="G1" s="6"/>
      <c r="H1" s="6"/>
      <c r="I1" s="6"/>
    </row>
    <row r="2" spans="1:9" ht="15" customHeight="1" x14ac:dyDescent="0.35">
      <c r="A2" s="5" t="s">
        <v>3004</v>
      </c>
      <c r="B2" s="5"/>
      <c r="C2" s="5"/>
      <c r="D2" s="5"/>
      <c r="E2" s="5"/>
      <c r="F2" s="5"/>
      <c r="G2" s="5"/>
      <c r="H2" s="5"/>
      <c r="I2" s="5"/>
    </row>
    <row r="4" spans="1:9" x14ac:dyDescent="0.25">
      <c r="A4" s="14" t="s">
        <v>3005</v>
      </c>
      <c r="B4" s="14" t="s">
        <v>3006</v>
      </c>
      <c r="C4" s="14" t="s">
        <v>1410</v>
      </c>
      <c r="D4" s="14" t="s">
        <v>3007</v>
      </c>
      <c r="E4" s="14" t="s">
        <v>3008</v>
      </c>
      <c r="F4" s="14" t="s">
        <v>3009</v>
      </c>
      <c r="G4" s="14" t="s">
        <v>3010</v>
      </c>
      <c r="H4" s="14" t="s">
        <v>3011</v>
      </c>
      <c r="I4" s="14" t="s">
        <v>1574</v>
      </c>
    </row>
    <row r="5" spans="1:9" ht="43.5" customHeight="1" x14ac:dyDescent="0.25">
      <c r="A5" s="36" t="s">
        <v>3012</v>
      </c>
      <c r="B5" s="15" t="s">
        <v>3013</v>
      </c>
      <c r="C5" s="15" t="s">
        <v>1412</v>
      </c>
      <c r="D5" s="15" t="s">
        <v>3014</v>
      </c>
      <c r="E5" s="15" t="s">
        <v>3015</v>
      </c>
      <c r="F5" s="15" t="s">
        <v>3016</v>
      </c>
      <c r="G5" s="15" t="s">
        <v>2121</v>
      </c>
      <c r="H5" s="15" t="s">
        <v>3017</v>
      </c>
      <c r="I5" s="15" t="s">
        <v>1594</v>
      </c>
    </row>
    <row r="6" spans="1:9" ht="43.5" customHeight="1" x14ac:dyDescent="0.25">
      <c r="A6" s="36" t="s">
        <v>3018</v>
      </c>
      <c r="B6" s="15" t="s">
        <v>3013</v>
      </c>
      <c r="C6" s="15" t="s">
        <v>1412</v>
      </c>
      <c r="D6" s="15" t="s">
        <v>3019</v>
      </c>
      <c r="E6" s="15" t="s">
        <v>3020</v>
      </c>
      <c r="F6" s="15" t="s">
        <v>3021</v>
      </c>
      <c r="G6" s="15" t="s">
        <v>2121</v>
      </c>
      <c r="H6" s="15" t="s">
        <v>3017</v>
      </c>
      <c r="I6" s="15" t="s">
        <v>1594</v>
      </c>
    </row>
    <row r="7" spans="1:9" ht="43.5" customHeight="1" x14ac:dyDescent="0.25">
      <c r="A7" s="36" t="s">
        <v>3022</v>
      </c>
      <c r="B7" s="15" t="s">
        <v>3013</v>
      </c>
      <c r="C7" s="15" t="s">
        <v>1412</v>
      </c>
      <c r="D7" s="15" t="s">
        <v>3023</v>
      </c>
      <c r="E7" s="15" t="s">
        <v>3024</v>
      </c>
      <c r="F7" s="15" t="s">
        <v>3025</v>
      </c>
      <c r="G7" s="15" t="s">
        <v>3026</v>
      </c>
      <c r="H7" s="15" t="s">
        <v>1392</v>
      </c>
      <c r="I7" s="15" t="s">
        <v>1594</v>
      </c>
    </row>
    <row r="8" spans="1:9" ht="43.5" customHeight="1" x14ac:dyDescent="0.25">
      <c r="A8" s="36" t="s">
        <v>3027</v>
      </c>
      <c r="B8" s="15" t="s">
        <v>3028</v>
      </c>
      <c r="C8" s="15" t="s">
        <v>1427</v>
      </c>
      <c r="D8" s="15" t="s">
        <v>3029</v>
      </c>
      <c r="E8" s="15" t="s">
        <v>3030</v>
      </c>
      <c r="F8" s="15" t="s">
        <v>3031</v>
      </c>
      <c r="G8" s="15" t="s">
        <v>2121</v>
      </c>
      <c r="H8" s="15" t="s">
        <v>3032</v>
      </c>
      <c r="I8" s="15" t="s">
        <v>1594</v>
      </c>
    </row>
    <row r="9" spans="1:9" ht="43.5" customHeight="1" x14ac:dyDescent="0.25">
      <c r="A9" s="36" t="s">
        <v>3033</v>
      </c>
      <c r="B9" s="15" t="s">
        <v>3034</v>
      </c>
      <c r="C9" s="15" t="s">
        <v>3035</v>
      </c>
      <c r="D9" s="15" t="s">
        <v>3036</v>
      </c>
      <c r="E9" s="15" t="s">
        <v>3037</v>
      </c>
      <c r="F9" s="15" t="s">
        <v>3038</v>
      </c>
      <c r="G9" s="15" t="s">
        <v>2121</v>
      </c>
      <c r="H9" s="15" t="s">
        <v>1392</v>
      </c>
      <c r="I9" s="15" t="s">
        <v>1594</v>
      </c>
    </row>
    <row r="10" spans="1:9" ht="43.5" customHeight="1" x14ac:dyDescent="0.25">
      <c r="A10" s="36" t="s">
        <v>3039</v>
      </c>
      <c r="B10" s="15" t="s">
        <v>1123</v>
      </c>
      <c r="C10" s="15" t="s">
        <v>1412</v>
      </c>
      <c r="D10" s="15" t="s">
        <v>3040</v>
      </c>
      <c r="E10" s="15" t="s">
        <v>3041</v>
      </c>
      <c r="F10" s="15" t="s">
        <v>3042</v>
      </c>
      <c r="G10" s="15" t="s">
        <v>2121</v>
      </c>
      <c r="H10" s="15" t="s">
        <v>3017</v>
      </c>
      <c r="I10" s="15" t="s">
        <v>1594</v>
      </c>
    </row>
    <row r="11" spans="1:9" ht="43.5" customHeight="1" x14ac:dyDescent="0.25">
      <c r="A11" s="36" t="s">
        <v>3043</v>
      </c>
      <c r="B11" s="15" t="s">
        <v>3044</v>
      </c>
      <c r="C11" s="15" t="s">
        <v>1436</v>
      </c>
      <c r="D11" s="15" t="s">
        <v>3045</v>
      </c>
      <c r="E11" s="15" t="s">
        <v>3046</v>
      </c>
      <c r="F11" s="15" t="s">
        <v>3047</v>
      </c>
      <c r="G11" s="15" t="s">
        <v>2121</v>
      </c>
      <c r="H11" s="15" t="s">
        <v>1392</v>
      </c>
      <c r="I11" s="15" t="s">
        <v>1594</v>
      </c>
    </row>
    <row r="12" spans="1:9" ht="43.5" customHeight="1" x14ac:dyDescent="0.25">
      <c r="A12" s="36" t="s">
        <v>3048</v>
      </c>
      <c r="B12" s="15" t="s">
        <v>3049</v>
      </c>
      <c r="C12" s="15" t="s">
        <v>3050</v>
      </c>
      <c r="D12" s="15" t="s">
        <v>3051</v>
      </c>
      <c r="E12" s="15" t="s">
        <v>3052</v>
      </c>
      <c r="F12" s="15" t="s">
        <v>3053</v>
      </c>
      <c r="G12" s="15" t="s">
        <v>2121</v>
      </c>
      <c r="H12" s="15" t="s">
        <v>3017</v>
      </c>
      <c r="I12" s="15" t="s">
        <v>1594</v>
      </c>
    </row>
    <row r="13" spans="1:9" ht="43.5" customHeight="1" x14ac:dyDescent="0.25">
      <c r="A13" s="36" t="s">
        <v>3054</v>
      </c>
      <c r="B13" s="15" t="s">
        <v>3055</v>
      </c>
      <c r="C13" s="15" t="s">
        <v>3056</v>
      </c>
      <c r="D13" s="15" t="s">
        <v>3057</v>
      </c>
      <c r="E13" s="15" t="s">
        <v>3058</v>
      </c>
      <c r="F13" s="15" t="s">
        <v>3059</v>
      </c>
      <c r="G13" s="15" t="s">
        <v>2121</v>
      </c>
      <c r="H13" s="15" t="s">
        <v>3017</v>
      </c>
      <c r="I13" s="15" t="s">
        <v>1594</v>
      </c>
    </row>
    <row r="14" spans="1:9" ht="43.5" customHeight="1" x14ac:dyDescent="0.25">
      <c r="A14" s="36" t="s">
        <v>3060</v>
      </c>
      <c r="B14" s="15" t="s">
        <v>3061</v>
      </c>
      <c r="C14" s="15" t="s">
        <v>1424</v>
      </c>
      <c r="D14" s="15" t="s">
        <v>3062</v>
      </c>
      <c r="E14" s="15" t="s">
        <v>3063</v>
      </c>
      <c r="F14" s="15" t="s">
        <v>3064</v>
      </c>
      <c r="G14" s="15" t="s">
        <v>2365</v>
      </c>
      <c r="H14" s="15" t="s">
        <v>3017</v>
      </c>
      <c r="I14" s="15" t="s">
        <v>1594</v>
      </c>
    </row>
    <row r="15" spans="1:9" ht="43.5" customHeight="1" x14ac:dyDescent="0.25">
      <c r="A15" s="36" t="s">
        <v>3065</v>
      </c>
      <c r="B15" s="15" t="s">
        <v>3066</v>
      </c>
      <c r="C15" s="15" t="s">
        <v>3067</v>
      </c>
      <c r="D15" s="15" t="s">
        <v>3068</v>
      </c>
      <c r="E15" s="15" t="s">
        <v>3069</v>
      </c>
      <c r="F15" s="15" t="s">
        <v>3070</v>
      </c>
      <c r="G15" s="15" t="s">
        <v>2121</v>
      </c>
      <c r="H15" s="15" t="s">
        <v>3017</v>
      </c>
      <c r="I15" s="15" t="s">
        <v>1594</v>
      </c>
    </row>
    <row r="16" spans="1:9" ht="43.5" customHeight="1" x14ac:dyDescent="0.25">
      <c r="A16" s="36" t="s">
        <v>3071</v>
      </c>
      <c r="B16" s="15" t="s">
        <v>3066</v>
      </c>
      <c r="C16" s="15" t="s">
        <v>1424</v>
      </c>
      <c r="D16" s="15" t="s">
        <v>3072</v>
      </c>
      <c r="E16" s="15" t="s">
        <v>3073</v>
      </c>
      <c r="F16" s="15" t="s">
        <v>3074</v>
      </c>
      <c r="G16" s="15" t="s">
        <v>1392</v>
      </c>
      <c r="H16" s="15" t="s">
        <v>242</v>
      </c>
      <c r="I16" s="15" t="s">
        <v>1814</v>
      </c>
    </row>
    <row r="17" spans="1:9" ht="43.5" customHeight="1" x14ac:dyDescent="0.25">
      <c r="A17" s="36" t="s">
        <v>3075</v>
      </c>
      <c r="B17" s="15" t="s">
        <v>3076</v>
      </c>
      <c r="C17" s="15" t="s">
        <v>1421</v>
      </c>
      <c r="D17" s="15" t="s">
        <v>3077</v>
      </c>
      <c r="E17" s="15" t="s">
        <v>3078</v>
      </c>
      <c r="F17" s="15" t="s">
        <v>3079</v>
      </c>
      <c r="G17" s="15" t="s">
        <v>2978</v>
      </c>
      <c r="H17" s="15" t="s">
        <v>3017</v>
      </c>
      <c r="I17" s="15" t="s">
        <v>1594</v>
      </c>
    </row>
    <row r="18" spans="1:9" ht="43.5" customHeight="1" x14ac:dyDescent="0.25">
      <c r="A18" s="36" t="s">
        <v>3080</v>
      </c>
      <c r="B18" s="15" t="s">
        <v>3076</v>
      </c>
      <c r="C18" s="15" t="s">
        <v>3081</v>
      </c>
      <c r="D18" s="15" t="s">
        <v>3082</v>
      </c>
      <c r="E18" s="15" t="s">
        <v>3083</v>
      </c>
      <c r="F18" s="15" t="s">
        <v>3084</v>
      </c>
      <c r="G18" s="15" t="s">
        <v>3085</v>
      </c>
      <c r="H18" s="15" t="s">
        <v>3017</v>
      </c>
      <c r="I18" s="15" t="s">
        <v>1594</v>
      </c>
    </row>
    <row r="19" spans="1:9" ht="43.5" customHeight="1" x14ac:dyDescent="0.25">
      <c r="A19" s="36" t="s">
        <v>3086</v>
      </c>
      <c r="B19" s="15" t="s">
        <v>3087</v>
      </c>
      <c r="C19" s="15" t="s">
        <v>1430</v>
      </c>
      <c r="D19" s="15" t="s">
        <v>3076</v>
      </c>
      <c r="E19" s="15" t="s">
        <v>3088</v>
      </c>
      <c r="F19" s="15" t="s">
        <v>3089</v>
      </c>
      <c r="G19" s="15" t="s">
        <v>2224</v>
      </c>
      <c r="H19" s="15" t="s">
        <v>3017</v>
      </c>
      <c r="I19" s="15" t="s">
        <v>2851</v>
      </c>
    </row>
    <row r="20" spans="1:9" ht="43.5" customHeight="1" x14ac:dyDescent="0.25">
      <c r="A20" s="36" t="s">
        <v>3090</v>
      </c>
      <c r="B20" s="15" t="s">
        <v>3091</v>
      </c>
      <c r="C20" s="15" t="s">
        <v>3092</v>
      </c>
      <c r="D20" s="15" t="s">
        <v>3093</v>
      </c>
      <c r="E20" s="15" t="s">
        <v>3094</v>
      </c>
      <c r="F20" s="15" t="s">
        <v>3095</v>
      </c>
      <c r="G20" s="15" t="s">
        <v>3096</v>
      </c>
      <c r="H20" s="15" t="s">
        <v>1392</v>
      </c>
      <c r="I20" s="15" t="s">
        <v>1594</v>
      </c>
    </row>
    <row r="21" spans="1:9" ht="43.5" customHeight="1" x14ac:dyDescent="0.25">
      <c r="A21" s="36" t="s">
        <v>3097</v>
      </c>
      <c r="B21" s="15" t="s">
        <v>3098</v>
      </c>
      <c r="C21" s="15" t="s">
        <v>1415</v>
      </c>
      <c r="D21" s="15" t="s">
        <v>3099</v>
      </c>
      <c r="E21" s="15" t="s">
        <v>3100</v>
      </c>
      <c r="F21" s="15" t="s">
        <v>3101</v>
      </c>
      <c r="G21" s="15" t="s">
        <v>2224</v>
      </c>
      <c r="H21" s="15" t="s">
        <v>3017</v>
      </c>
      <c r="I21" s="15" t="s">
        <v>2851</v>
      </c>
    </row>
    <row r="22" spans="1:9" ht="43.5" customHeight="1" x14ac:dyDescent="0.25">
      <c r="A22" s="36" t="s">
        <v>3102</v>
      </c>
      <c r="B22" s="15" t="s">
        <v>3098</v>
      </c>
      <c r="C22" s="15" t="s">
        <v>1421</v>
      </c>
      <c r="D22" s="15" t="s">
        <v>3103</v>
      </c>
      <c r="E22" s="15" t="s">
        <v>3104</v>
      </c>
      <c r="F22" s="15" t="s">
        <v>3105</v>
      </c>
      <c r="G22" s="15" t="s">
        <v>2224</v>
      </c>
      <c r="H22" s="15" t="s">
        <v>3017</v>
      </c>
      <c r="I22" s="15" t="s">
        <v>2851</v>
      </c>
    </row>
    <row r="23" spans="1:9" ht="43.5" customHeight="1" x14ac:dyDescent="0.25">
      <c r="A23" s="36" t="s">
        <v>3106</v>
      </c>
      <c r="B23" s="15" t="s">
        <v>3098</v>
      </c>
      <c r="C23" s="15" t="s">
        <v>1424</v>
      </c>
      <c r="D23" s="15" t="s">
        <v>3107</v>
      </c>
      <c r="E23" s="15" t="s">
        <v>3108</v>
      </c>
      <c r="F23" s="15" t="s">
        <v>3109</v>
      </c>
      <c r="G23" s="15" t="s">
        <v>2224</v>
      </c>
      <c r="H23" s="15" t="s">
        <v>3017</v>
      </c>
      <c r="I23" s="15" t="s">
        <v>2851</v>
      </c>
    </row>
    <row r="24" spans="1:9" ht="43.5" customHeight="1" x14ac:dyDescent="0.25">
      <c r="A24" s="36" t="s">
        <v>3110</v>
      </c>
      <c r="B24" s="15" t="s">
        <v>3111</v>
      </c>
      <c r="C24" s="15" t="s">
        <v>1412</v>
      </c>
      <c r="D24" s="15" t="s">
        <v>3112</v>
      </c>
      <c r="E24" s="15" t="s">
        <v>3113</v>
      </c>
      <c r="F24" s="15" t="s">
        <v>3114</v>
      </c>
      <c r="G24" s="15" t="s">
        <v>1378</v>
      </c>
      <c r="H24" s="15" t="s">
        <v>3017</v>
      </c>
      <c r="I24" s="15" t="s">
        <v>1594</v>
      </c>
    </row>
    <row r="25" spans="1:9" ht="43.5" customHeight="1" x14ac:dyDescent="0.25">
      <c r="A25" s="36" t="s">
        <v>3115</v>
      </c>
      <c r="B25" s="15" t="s">
        <v>3111</v>
      </c>
      <c r="C25" s="15" t="s">
        <v>1421</v>
      </c>
      <c r="D25" s="15" t="s">
        <v>3116</v>
      </c>
      <c r="E25" s="15" t="s">
        <v>3117</v>
      </c>
      <c r="F25" s="15" t="s">
        <v>3118</v>
      </c>
      <c r="G25" s="15" t="s">
        <v>1378</v>
      </c>
      <c r="H25" s="15" t="s">
        <v>3017</v>
      </c>
      <c r="I25" s="15" t="s">
        <v>1594</v>
      </c>
    </row>
    <row r="26" spans="1:9" ht="43.5" customHeight="1" x14ac:dyDescent="0.25">
      <c r="A26" s="36" t="s">
        <v>3119</v>
      </c>
      <c r="B26" s="15" t="s">
        <v>3120</v>
      </c>
      <c r="C26" s="15" t="s">
        <v>3121</v>
      </c>
      <c r="D26" s="15" t="s">
        <v>3122</v>
      </c>
      <c r="E26" s="15" t="s">
        <v>3123</v>
      </c>
      <c r="F26" s="15" t="s">
        <v>3124</v>
      </c>
      <c r="G26" s="15" t="s">
        <v>1378</v>
      </c>
      <c r="H26" s="15" t="s">
        <v>3017</v>
      </c>
      <c r="I26" s="15" t="s">
        <v>1594</v>
      </c>
    </row>
    <row r="27" spans="1:9" ht="43.5" customHeight="1" x14ac:dyDescent="0.25">
      <c r="A27" s="36" t="s">
        <v>3125</v>
      </c>
      <c r="B27" s="15" t="s">
        <v>3126</v>
      </c>
      <c r="C27" s="15" t="s">
        <v>3127</v>
      </c>
      <c r="D27" s="15" t="s">
        <v>3128</v>
      </c>
      <c r="E27" s="15" t="s">
        <v>3129</v>
      </c>
      <c r="F27" s="15" t="s">
        <v>3130</v>
      </c>
      <c r="G27" s="15" t="s">
        <v>1378</v>
      </c>
      <c r="H27" s="15" t="s">
        <v>3017</v>
      </c>
      <c r="I27" s="15" t="s">
        <v>1594</v>
      </c>
    </row>
    <row r="28" spans="1:9" ht="43.5" customHeight="1" x14ac:dyDescent="0.25">
      <c r="A28" s="36" t="s">
        <v>3131</v>
      </c>
      <c r="B28" s="15" t="s">
        <v>3132</v>
      </c>
      <c r="C28" s="15" t="s">
        <v>1442</v>
      </c>
      <c r="D28" s="15" t="s">
        <v>3133</v>
      </c>
      <c r="E28" s="15" t="s">
        <v>3134</v>
      </c>
      <c r="F28" s="15" t="s">
        <v>3135</v>
      </c>
      <c r="G28" s="15" t="s">
        <v>1378</v>
      </c>
      <c r="H28" s="15" t="s">
        <v>3017</v>
      </c>
      <c r="I28" s="15" t="s">
        <v>1594</v>
      </c>
    </row>
    <row r="29" spans="1:9" ht="43.5" customHeight="1" x14ac:dyDescent="0.25">
      <c r="A29" s="36" t="s">
        <v>3136</v>
      </c>
      <c r="B29" s="15" t="s">
        <v>3137</v>
      </c>
      <c r="C29" s="15" t="s">
        <v>1442</v>
      </c>
      <c r="D29" s="15" t="s">
        <v>3138</v>
      </c>
      <c r="E29" s="15" t="s">
        <v>3139</v>
      </c>
      <c r="F29" s="15" t="s">
        <v>3140</v>
      </c>
      <c r="G29" s="15" t="s">
        <v>1378</v>
      </c>
      <c r="H29" s="15" t="s">
        <v>3017</v>
      </c>
      <c r="I29" s="15" t="s">
        <v>2851</v>
      </c>
    </row>
    <row r="30" spans="1:9" ht="43.5" customHeight="1" x14ac:dyDescent="0.25">
      <c r="A30" s="36" t="s">
        <v>3141</v>
      </c>
      <c r="B30" s="15" t="s">
        <v>2610</v>
      </c>
      <c r="C30" s="15" t="s">
        <v>1442</v>
      </c>
      <c r="D30" s="15" t="s">
        <v>3142</v>
      </c>
      <c r="E30" s="15" t="s">
        <v>3143</v>
      </c>
      <c r="F30" s="15" t="s">
        <v>3144</v>
      </c>
      <c r="G30" s="15" t="s">
        <v>2404</v>
      </c>
      <c r="H30" s="15" t="s">
        <v>3017</v>
      </c>
      <c r="I30" s="15" t="s">
        <v>2851</v>
      </c>
    </row>
    <row r="31" spans="1:9" ht="43.5" customHeight="1" x14ac:dyDescent="0.25">
      <c r="A31" s="36" t="s">
        <v>3145</v>
      </c>
      <c r="B31" s="15" t="s">
        <v>3146</v>
      </c>
      <c r="C31" s="15" t="s">
        <v>3127</v>
      </c>
      <c r="D31" s="15" t="s">
        <v>3147</v>
      </c>
      <c r="E31" s="15" t="s">
        <v>3148</v>
      </c>
      <c r="F31" s="15" t="s">
        <v>3149</v>
      </c>
      <c r="G31" s="15" t="s">
        <v>2404</v>
      </c>
      <c r="H31" s="15" t="s">
        <v>3017</v>
      </c>
      <c r="I31" s="15" t="s">
        <v>2851</v>
      </c>
    </row>
    <row r="32" spans="1:9" ht="43.5" customHeight="1" x14ac:dyDescent="0.25">
      <c r="A32" s="36" t="s">
        <v>3150</v>
      </c>
      <c r="B32" s="15" t="s">
        <v>3151</v>
      </c>
      <c r="C32" s="15" t="s">
        <v>1421</v>
      </c>
      <c r="D32" s="15" t="s">
        <v>3152</v>
      </c>
      <c r="E32" s="15" t="s">
        <v>3153</v>
      </c>
      <c r="F32" s="15" t="s">
        <v>3154</v>
      </c>
      <c r="G32" s="15" t="s">
        <v>2853</v>
      </c>
      <c r="H32" s="15" t="s">
        <v>3017</v>
      </c>
      <c r="I32" s="15" t="s">
        <v>238</v>
      </c>
    </row>
    <row r="33" spans="1:9" ht="43.5" customHeight="1" x14ac:dyDescent="0.25">
      <c r="A33" s="36" t="s">
        <v>3155</v>
      </c>
      <c r="B33" s="15" t="s">
        <v>3151</v>
      </c>
      <c r="C33" s="15" t="s">
        <v>1424</v>
      </c>
      <c r="D33" s="15" t="s">
        <v>3156</v>
      </c>
      <c r="E33" s="15" t="s">
        <v>3157</v>
      </c>
      <c r="F33" s="15" t="s">
        <v>3158</v>
      </c>
      <c r="G33" s="15" t="s">
        <v>1378</v>
      </c>
      <c r="H33" s="15" t="s">
        <v>3017</v>
      </c>
      <c r="I33" s="15" t="s">
        <v>1594</v>
      </c>
    </row>
    <row r="34" spans="1:9" ht="43.5" customHeight="1" x14ac:dyDescent="0.25">
      <c r="A34" s="36" t="s">
        <v>3159</v>
      </c>
      <c r="B34" s="15" t="s">
        <v>3160</v>
      </c>
      <c r="C34" s="15" t="s">
        <v>3161</v>
      </c>
      <c r="D34" s="15" t="s">
        <v>3162</v>
      </c>
      <c r="E34" s="15" t="s">
        <v>3163</v>
      </c>
      <c r="F34" s="15" t="s">
        <v>3164</v>
      </c>
      <c r="G34" s="15" t="s">
        <v>3165</v>
      </c>
      <c r="H34" s="15" t="s">
        <v>3166</v>
      </c>
      <c r="I34" s="15" t="s">
        <v>238</v>
      </c>
    </row>
    <row r="35" spans="1:9" ht="43.5" customHeight="1" x14ac:dyDescent="0.25">
      <c r="A35" s="36" t="s">
        <v>3167</v>
      </c>
      <c r="B35" s="15" t="s">
        <v>3162</v>
      </c>
      <c r="C35" s="15" t="s">
        <v>1436</v>
      </c>
      <c r="D35" s="15" t="s">
        <v>3168</v>
      </c>
      <c r="E35" s="15" t="s">
        <v>3169</v>
      </c>
      <c r="F35" s="15" t="s">
        <v>3170</v>
      </c>
      <c r="G35" s="15" t="s">
        <v>3171</v>
      </c>
      <c r="H35" s="15" t="s">
        <v>1392</v>
      </c>
      <c r="I35" s="15" t="s">
        <v>1594</v>
      </c>
    </row>
    <row r="36" spans="1:9" ht="43.5" customHeight="1" x14ac:dyDescent="0.25">
      <c r="A36" s="36" t="s">
        <v>3172</v>
      </c>
      <c r="B36" s="15" t="s">
        <v>3162</v>
      </c>
      <c r="C36" s="15" t="s">
        <v>1439</v>
      </c>
      <c r="D36" s="15" t="s">
        <v>3173</v>
      </c>
      <c r="E36" s="15" t="s">
        <v>3174</v>
      </c>
      <c r="F36" s="15" t="s">
        <v>3175</v>
      </c>
      <c r="G36" s="15" t="s">
        <v>3176</v>
      </c>
      <c r="H36" s="15" t="s">
        <v>1392</v>
      </c>
      <c r="I36" s="15" t="s">
        <v>2851</v>
      </c>
    </row>
    <row r="37" spans="1:9" ht="43.5" customHeight="1" x14ac:dyDescent="0.25">
      <c r="A37" s="36" t="s">
        <v>3177</v>
      </c>
      <c r="B37" s="15" t="s">
        <v>3178</v>
      </c>
      <c r="C37" s="15" t="s">
        <v>1415</v>
      </c>
      <c r="D37" s="15" t="s">
        <v>3179</v>
      </c>
      <c r="E37" s="15" t="s">
        <v>3180</v>
      </c>
      <c r="F37" s="15" t="s">
        <v>3181</v>
      </c>
      <c r="G37" s="15" t="s">
        <v>3182</v>
      </c>
      <c r="H37" s="15" t="s">
        <v>3017</v>
      </c>
      <c r="I37" s="15" t="s">
        <v>1594</v>
      </c>
    </row>
    <row r="38" spans="1:9" ht="43.5" customHeight="1" x14ac:dyDescent="0.25">
      <c r="A38" s="36" t="s">
        <v>3183</v>
      </c>
      <c r="B38" s="15" t="s">
        <v>3184</v>
      </c>
      <c r="C38" s="15" t="s">
        <v>1436</v>
      </c>
      <c r="D38" s="15" t="s">
        <v>3185</v>
      </c>
      <c r="E38" s="15" t="s">
        <v>3186</v>
      </c>
      <c r="F38" s="15" t="s">
        <v>3187</v>
      </c>
      <c r="G38" s="15" t="s">
        <v>3182</v>
      </c>
      <c r="H38" s="15" t="s">
        <v>3017</v>
      </c>
      <c r="I38" s="15" t="s">
        <v>1594</v>
      </c>
    </row>
    <row r="39" spans="1:9" ht="43.5" customHeight="1" x14ac:dyDescent="0.25">
      <c r="A39" s="36" t="s">
        <v>3188</v>
      </c>
      <c r="B39" s="15" t="s">
        <v>3189</v>
      </c>
      <c r="C39" s="15" t="s">
        <v>1415</v>
      </c>
      <c r="D39" s="15" t="s">
        <v>3190</v>
      </c>
      <c r="E39" s="15" t="s">
        <v>3191</v>
      </c>
      <c r="F39" s="15" t="s">
        <v>3192</v>
      </c>
      <c r="G39" s="15" t="s">
        <v>2961</v>
      </c>
      <c r="H39" s="15" t="s">
        <v>3017</v>
      </c>
      <c r="I39" s="15" t="s">
        <v>2851</v>
      </c>
    </row>
    <row r="40" spans="1:9" ht="43.5" customHeight="1" x14ac:dyDescent="0.25">
      <c r="A40" s="36" t="s">
        <v>3193</v>
      </c>
      <c r="B40" s="15" t="s">
        <v>3190</v>
      </c>
      <c r="C40" s="15" t="s">
        <v>3194</v>
      </c>
      <c r="D40" s="15" t="s">
        <v>3195</v>
      </c>
      <c r="E40" s="15" t="s">
        <v>3196</v>
      </c>
      <c r="F40" s="15" t="s">
        <v>3197</v>
      </c>
      <c r="G40" s="15" t="s">
        <v>2961</v>
      </c>
      <c r="H40" s="15" t="s">
        <v>3032</v>
      </c>
      <c r="I40" s="15" t="s">
        <v>2851</v>
      </c>
    </row>
    <row r="41" spans="1:9" ht="43.5" customHeight="1" x14ac:dyDescent="0.25">
      <c r="A41" s="36" t="s">
        <v>3198</v>
      </c>
      <c r="B41" s="15" t="s">
        <v>3199</v>
      </c>
      <c r="C41" s="15" t="s">
        <v>3200</v>
      </c>
      <c r="D41" s="15" t="s">
        <v>3201</v>
      </c>
      <c r="E41" s="15" t="s">
        <v>3202</v>
      </c>
      <c r="F41" s="15" t="s">
        <v>3203</v>
      </c>
      <c r="G41" s="15" t="s">
        <v>3204</v>
      </c>
      <c r="H41" s="15" t="s">
        <v>3017</v>
      </c>
      <c r="I41" s="15" t="s">
        <v>1594</v>
      </c>
    </row>
    <row r="42" spans="1:9" ht="43.5" customHeight="1" x14ac:dyDescent="0.25">
      <c r="A42" s="36" t="s">
        <v>3205</v>
      </c>
      <c r="B42" s="15" t="s">
        <v>3199</v>
      </c>
      <c r="C42" s="15" t="s">
        <v>1430</v>
      </c>
      <c r="D42" s="15" t="s">
        <v>3206</v>
      </c>
      <c r="E42" s="15" t="s">
        <v>3207</v>
      </c>
      <c r="F42" s="15" t="s">
        <v>3208</v>
      </c>
      <c r="G42" s="15" t="s">
        <v>3209</v>
      </c>
      <c r="H42" s="15" t="s">
        <v>242</v>
      </c>
      <c r="I42" s="15" t="s">
        <v>1594</v>
      </c>
    </row>
    <row r="43" spans="1:9" ht="43.5" customHeight="1" x14ac:dyDescent="0.25">
      <c r="A43" s="36" t="s">
        <v>3210</v>
      </c>
      <c r="B43" s="15" t="s">
        <v>3034</v>
      </c>
      <c r="C43" s="15" t="s">
        <v>3211</v>
      </c>
      <c r="D43" s="15" t="s">
        <v>3212</v>
      </c>
      <c r="E43" s="15" t="s">
        <v>3213</v>
      </c>
      <c r="F43" s="15" t="s">
        <v>3214</v>
      </c>
      <c r="G43" s="15" t="s">
        <v>3215</v>
      </c>
      <c r="H43" s="15" t="s">
        <v>3032</v>
      </c>
      <c r="I43" s="15" t="s">
        <v>1594</v>
      </c>
    </row>
    <row r="44" spans="1:9" ht="43.5" customHeight="1" x14ac:dyDescent="0.25">
      <c r="A44" s="36" t="s">
        <v>3216</v>
      </c>
      <c r="B44" s="15" t="s">
        <v>3217</v>
      </c>
      <c r="C44" s="15" t="s">
        <v>3218</v>
      </c>
      <c r="D44" s="15" t="s">
        <v>3219</v>
      </c>
      <c r="E44" s="15" t="s">
        <v>3220</v>
      </c>
      <c r="F44" s="15" t="s">
        <v>3221</v>
      </c>
      <c r="G44" s="15" t="s">
        <v>1392</v>
      </c>
      <c r="H44" s="15" t="s">
        <v>242</v>
      </c>
      <c r="I44" s="15" t="s">
        <v>1814</v>
      </c>
    </row>
    <row r="45" spans="1:9" ht="43.5" customHeight="1" x14ac:dyDescent="0.25">
      <c r="A45" s="36" t="s">
        <v>3222</v>
      </c>
      <c r="B45" s="15" t="s">
        <v>3223</v>
      </c>
      <c r="C45" s="15" t="s">
        <v>3224</v>
      </c>
      <c r="D45" s="15" t="s">
        <v>3225</v>
      </c>
      <c r="E45" s="15" t="s">
        <v>3226</v>
      </c>
      <c r="F45" s="15" t="s">
        <v>3227</v>
      </c>
      <c r="G45" s="15" t="s">
        <v>2121</v>
      </c>
      <c r="H45" s="15" t="s">
        <v>3032</v>
      </c>
      <c r="I45" s="15" t="s">
        <v>1594</v>
      </c>
    </row>
    <row r="46" spans="1:9" ht="43.5" customHeight="1" x14ac:dyDescent="0.25">
      <c r="A46" s="36" t="s">
        <v>3228</v>
      </c>
      <c r="B46" s="15" t="s">
        <v>3229</v>
      </c>
      <c r="C46" s="15" t="s">
        <v>1430</v>
      </c>
      <c r="D46" s="15" t="s">
        <v>3230</v>
      </c>
      <c r="E46" s="15" t="s">
        <v>3231</v>
      </c>
      <c r="F46" s="15" t="s">
        <v>3232</v>
      </c>
      <c r="G46" s="15" t="s">
        <v>2121</v>
      </c>
      <c r="H46" s="15" t="s">
        <v>3017</v>
      </c>
      <c r="I46" s="15" t="s">
        <v>1594</v>
      </c>
    </row>
    <row r="47" spans="1:9" ht="43.5" customHeight="1" x14ac:dyDescent="0.25">
      <c r="A47" s="36" t="s">
        <v>3233</v>
      </c>
      <c r="B47" s="15" t="s">
        <v>3087</v>
      </c>
      <c r="C47" s="15" t="s">
        <v>1424</v>
      </c>
      <c r="D47" s="15" t="s">
        <v>3234</v>
      </c>
      <c r="E47" s="15" t="s">
        <v>3235</v>
      </c>
      <c r="F47" s="15" t="s">
        <v>3236</v>
      </c>
      <c r="G47" s="15" t="s">
        <v>2978</v>
      </c>
      <c r="H47" s="15" t="s">
        <v>3017</v>
      </c>
      <c r="I47" s="15" t="s">
        <v>1594</v>
      </c>
    </row>
    <row r="48" spans="1:9" ht="43.5" customHeight="1" x14ac:dyDescent="0.25">
      <c r="A48" s="36" t="s">
        <v>3237</v>
      </c>
      <c r="B48" s="15" t="s">
        <v>3061</v>
      </c>
      <c r="C48" s="15" t="s">
        <v>3238</v>
      </c>
      <c r="D48" s="15" t="s">
        <v>3239</v>
      </c>
      <c r="E48" s="15" t="s">
        <v>3240</v>
      </c>
      <c r="F48" s="15" t="s">
        <v>3241</v>
      </c>
      <c r="G48" s="15" t="s">
        <v>1378</v>
      </c>
      <c r="H48" s="15" t="s">
        <v>3017</v>
      </c>
      <c r="I48" s="15" t="s">
        <v>1594</v>
      </c>
    </row>
    <row r="49" spans="1:9" ht="43.5" customHeight="1" x14ac:dyDescent="0.25">
      <c r="A49" s="36" t="s">
        <v>3242</v>
      </c>
      <c r="B49" s="15" t="s">
        <v>3243</v>
      </c>
      <c r="C49" s="15" t="s">
        <v>3194</v>
      </c>
      <c r="D49" s="15" t="s">
        <v>3244</v>
      </c>
      <c r="E49" s="15" t="s">
        <v>3245</v>
      </c>
      <c r="F49" s="15" t="s">
        <v>3246</v>
      </c>
      <c r="G49" s="15" t="s">
        <v>3247</v>
      </c>
      <c r="H49" s="15" t="s">
        <v>3017</v>
      </c>
      <c r="I49" s="15" t="s">
        <v>238</v>
      </c>
    </row>
    <row r="50" spans="1:9" ht="43.5" customHeight="1" x14ac:dyDescent="0.25">
      <c r="A50" s="36" t="s">
        <v>3248</v>
      </c>
      <c r="B50" s="15" t="s">
        <v>3249</v>
      </c>
      <c r="C50" s="15" t="s">
        <v>3194</v>
      </c>
      <c r="D50" s="15" t="s">
        <v>3250</v>
      </c>
      <c r="E50" s="15" t="s">
        <v>3251</v>
      </c>
      <c r="F50" s="15" t="s">
        <v>3252</v>
      </c>
      <c r="G50" s="15" t="s">
        <v>1378</v>
      </c>
      <c r="H50" s="15" t="s">
        <v>3017</v>
      </c>
      <c r="I50" s="15" t="s">
        <v>1594</v>
      </c>
    </row>
    <row r="51" spans="1:9" ht="43.5" customHeight="1" x14ac:dyDescent="0.25">
      <c r="A51" s="36" t="s">
        <v>3253</v>
      </c>
      <c r="B51" s="15" t="s">
        <v>3254</v>
      </c>
      <c r="C51" s="15" t="s">
        <v>3255</v>
      </c>
      <c r="D51" s="15" t="s">
        <v>3256</v>
      </c>
      <c r="E51" s="15" t="s">
        <v>3257</v>
      </c>
      <c r="F51" s="15" t="s">
        <v>3258</v>
      </c>
      <c r="G51" s="15" t="s">
        <v>1378</v>
      </c>
      <c r="H51" s="15" t="s">
        <v>3017</v>
      </c>
      <c r="I51" s="15" t="s">
        <v>1594</v>
      </c>
    </row>
    <row r="52" spans="1:9" ht="43.5" customHeight="1" x14ac:dyDescent="0.25">
      <c r="A52" s="36" t="s">
        <v>3259</v>
      </c>
      <c r="B52" s="15" t="s">
        <v>3260</v>
      </c>
      <c r="C52" s="15" t="s">
        <v>3261</v>
      </c>
      <c r="D52" s="15" t="s">
        <v>3262</v>
      </c>
      <c r="E52" s="15" t="s">
        <v>3263</v>
      </c>
      <c r="F52" s="15" t="s">
        <v>3264</v>
      </c>
      <c r="G52" s="15" t="s">
        <v>2819</v>
      </c>
      <c r="H52" s="15" t="s">
        <v>3265</v>
      </c>
      <c r="I52" s="15" t="s">
        <v>2851</v>
      </c>
    </row>
    <row r="53" spans="1:9" ht="43.5" customHeight="1" x14ac:dyDescent="0.25">
      <c r="A53" s="36" t="s">
        <v>3266</v>
      </c>
      <c r="B53" s="15" t="s">
        <v>3260</v>
      </c>
      <c r="C53" s="15" t="s">
        <v>3261</v>
      </c>
      <c r="D53" s="15" t="s">
        <v>1539</v>
      </c>
      <c r="E53" s="15" t="s">
        <v>3267</v>
      </c>
      <c r="F53" s="15" t="s">
        <v>3268</v>
      </c>
      <c r="G53" s="15" t="s">
        <v>3269</v>
      </c>
      <c r="H53" s="15" t="s">
        <v>3270</v>
      </c>
      <c r="I53" s="15" t="s">
        <v>2851</v>
      </c>
    </row>
    <row r="54" spans="1:9" ht="43.5" customHeight="1" x14ac:dyDescent="0.25">
      <c r="A54" s="36" t="s">
        <v>3271</v>
      </c>
      <c r="B54" s="15" t="s">
        <v>3260</v>
      </c>
      <c r="C54" s="15" t="s">
        <v>3261</v>
      </c>
      <c r="D54" s="15" t="s">
        <v>3272</v>
      </c>
      <c r="E54" s="15" t="s">
        <v>3273</v>
      </c>
      <c r="F54" s="15" t="s">
        <v>3274</v>
      </c>
      <c r="G54" s="15" t="s">
        <v>3275</v>
      </c>
      <c r="H54" s="15" t="s">
        <v>3265</v>
      </c>
      <c r="I54" s="15" t="s">
        <v>2851</v>
      </c>
    </row>
  </sheetData>
  <mergeCells count="2">
    <mergeCell ref="A1:I1"/>
    <mergeCell ref="A2:I2"/>
  </mergeCells>
  <pageMargins left="0.7" right="0.7" top="0.75" bottom="0.75"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4"/>
  <sheetViews>
    <sheetView zoomScaleNormal="100" workbookViewId="0"/>
  </sheetViews>
  <sheetFormatPr defaultColWidth="8.6328125" defaultRowHeight="14.5" x14ac:dyDescent="0.35"/>
  <cols>
    <col min="1" max="1" width="8" style="12" customWidth="1"/>
    <col min="2" max="2" width="34" style="12" customWidth="1"/>
    <col min="3" max="3" width="24" style="12" customWidth="1"/>
    <col min="4" max="4" width="34" style="12" customWidth="1"/>
    <col min="5" max="5" width="22" style="12" customWidth="1"/>
  </cols>
  <sheetData>
    <row r="1" spans="1:5" ht="16.5" x14ac:dyDescent="0.35">
      <c r="A1" s="41" t="s">
        <v>3276</v>
      </c>
    </row>
    <row r="2" spans="1:5" ht="13" x14ac:dyDescent="0.3">
      <c r="A2" s="3" t="s">
        <v>3277</v>
      </c>
      <c r="B2" s="3"/>
      <c r="C2" s="3"/>
      <c r="D2" s="3"/>
      <c r="E2" s="3"/>
    </row>
    <row r="4" spans="1:5" ht="31.5" customHeight="1" x14ac:dyDescent="0.25">
      <c r="A4" s="42" t="s">
        <v>42</v>
      </c>
      <c r="B4" s="42" t="s">
        <v>3278</v>
      </c>
      <c r="C4" s="42" t="s">
        <v>265</v>
      </c>
      <c r="D4" s="42" t="s">
        <v>266</v>
      </c>
      <c r="E4" s="42" t="s">
        <v>267</v>
      </c>
    </row>
    <row r="5" spans="1:5" ht="30" customHeight="1" x14ac:dyDescent="0.25">
      <c r="A5" s="43" t="s">
        <v>3279</v>
      </c>
      <c r="B5" s="44" t="s">
        <v>1459</v>
      </c>
      <c r="C5" s="34" t="s">
        <v>357</v>
      </c>
      <c r="D5" s="34" t="s">
        <v>358</v>
      </c>
      <c r="E5" s="34" t="s">
        <v>342</v>
      </c>
    </row>
    <row r="6" spans="1:5" ht="30" customHeight="1" x14ac:dyDescent="0.25">
      <c r="A6" s="43" t="s">
        <v>3280</v>
      </c>
      <c r="B6" s="44" t="s">
        <v>86</v>
      </c>
      <c r="C6" s="34" t="s">
        <v>574</v>
      </c>
      <c r="D6" s="34" t="s">
        <v>575</v>
      </c>
      <c r="E6" s="34" t="s">
        <v>385</v>
      </c>
    </row>
    <row r="7" spans="1:5" ht="30" customHeight="1" x14ac:dyDescent="0.25">
      <c r="A7" s="43" t="s">
        <v>3281</v>
      </c>
      <c r="B7" s="44" t="s">
        <v>1470</v>
      </c>
      <c r="C7" s="34" t="s">
        <v>590</v>
      </c>
      <c r="D7" s="34" t="s">
        <v>591</v>
      </c>
      <c r="E7" s="34" t="s">
        <v>385</v>
      </c>
    </row>
    <row r="8" spans="1:5" ht="30" customHeight="1" x14ac:dyDescent="0.25">
      <c r="A8" s="43" t="s">
        <v>3282</v>
      </c>
      <c r="B8" s="44" t="s">
        <v>1476</v>
      </c>
      <c r="C8" s="34" t="s">
        <v>323</v>
      </c>
      <c r="D8" s="34" t="s">
        <v>428</v>
      </c>
      <c r="E8" s="34" t="s">
        <v>429</v>
      </c>
    </row>
    <row r="9" spans="1:5" ht="30" customHeight="1" x14ac:dyDescent="0.25">
      <c r="A9" s="43" t="s">
        <v>3283</v>
      </c>
      <c r="B9" s="44" t="s">
        <v>1482</v>
      </c>
      <c r="C9" s="34" t="s">
        <v>323</v>
      </c>
      <c r="D9" s="34" t="s">
        <v>411</v>
      </c>
      <c r="E9" s="34" t="s">
        <v>308</v>
      </c>
    </row>
    <row r="10" spans="1:5" ht="30" customHeight="1" x14ac:dyDescent="0.25">
      <c r="A10" s="43" t="s">
        <v>3284</v>
      </c>
      <c r="B10" s="44" t="s">
        <v>1488</v>
      </c>
      <c r="C10" s="34" t="s">
        <v>290</v>
      </c>
      <c r="D10" s="34" t="s">
        <v>384</v>
      </c>
      <c r="E10" s="34" t="s">
        <v>385</v>
      </c>
    </row>
    <row r="11" spans="1:5" ht="30" customHeight="1" x14ac:dyDescent="0.25">
      <c r="A11" s="43" t="s">
        <v>3285</v>
      </c>
      <c r="B11" s="44" t="s">
        <v>3286</v>
      </c>
      <c r="C11" s="34" t="s">
        <v>290</v>
      </c>
      <c r="D11" s="34" t="s">
        <v>291</v>
      </c>
      <c r="E11" s="34" t="s">
        <v>292</v>
      </c>
    </row>
    <row r="12" spans="1:5" ht="30" customHeight="1" x14ac:dyDescent="0.25">
      <c r="A12" s="43" t="s">
        <v>3287</v>
      </c>
      <c r="B12" s="44" t="s">
        <v>1499</v>
      </c>
      <c r="C12" s="34" t="s">
        <v>340</v>
      </c>
      <c r="D12" s="34" t="s">
        <v>341</v>
      </c>
      <c r="E12" s="34" t="s">
        <v>342</v>
      </c>
    </row>
    <row r="13" spans="1:5" ht="30" customHeight="1" x14ac:dyDescent="0.25">
      <c r="A13" s="43" t="s">
        <v>3288</v>
      </c>
      <c r="B13" s="44" t="s">
        <v>180</v>
      </c>
      <c r="C13" s="34" t="s">
        <v>323</v>
      </c>
      <c r="D13" s="34" t="s">
        <v>324</v>
      </c>
      <c r="E13" s="34" t="s">
        <v>325</v>
      </c>
    </row>
    <row r="14" spans="1:5" ht="30" customHeight="1" x14ac:dyDescent="0.25">
      <c r="A14" s="43" t="s">
        <v>3289</v>
      </c>
      <c r="B14" s="44" t="s">
        <v>3290</v>
      </c>
      <c r="C14" s="34" t="s">
        <v>306</v>
      </c>
      <c r="D14" s="34" t="s">
        <v>307</v>
      </c>
      <c r="E14" s="34" t="s">
        <v>308</v>
      </c>
    </row>
    <row r="17" spans="1:5" ht="18" customHeight="1" x14ac:dyDescent="0.25">
      <c r="A17" s="45" t="s">
        <v>3291</v>
      </c>
      <c r="B17" s="2"/>
      <c r="C17" s="2"/>
      <c r="D17" s="2"/>
      <c r="E17" s="2"/>
    </row>
    <row r="18" spans="1:5" ht="39.75" customHeight="1" x14ac:dyDescent="0.25">
      <c r="A18" s="46" t="s">
        <v>3292</v>
      </c>
      <c r="B18" s="1" t="s">
        <v>3293</v>
      </c>
      <c r="C18" s="1"/>
      <c r="D18" s="1"/>
      <c r="E18" s="1"/>
    </row>
    <row r="19" spans="1:5" ht="39.75" customHeight="1" x14ac:dyDescent="0.25">
      <c r="A19" s="46" t="s">
        <v>3294</v>
      </c>
      <c r="B19" s="1" t="s">
        <v>3295</v>
      </c>
      <c r="C19" s="1"/>
      <c r="D19" s="1"/>
      <c r="E19" s="1"/>
    </row>
    <row r="20" spans="1:5" ht="39.75" customHeight="1" x14ac:dyDescent="0.25">
      <c r="A20" s="46" t="s">
        <v>3296</v>
      </c>
      <c r="B20" s="1" t="s">
        <v>3297</v>
      </c>
      <c r="C20" s="1"/>
      <c r="D20" s="1"/>
      <c r="E20" s="1"/>
    </row>
    <row r="21" spans="1:5" ht="18" customHeight="1" x14ac:dyDescent="0.25">
      <c r="A21" s="46"/>
      <c r="B21" s="1"/>
      <c r="C21" s="1"/>
      <c r="D21" s="1"/>
      <c r="E21" s="1"/>
    </row>
    <row r="22" spans="1:5" ht="18" customHeight="1" x14ac:dyDescent="0.25">
      <c r="A22" s="45" t="s">
        <v>3298</v>
      </c>
      <c r="B22" s="2"/>
      <c r="C22" s="2"/>
      <c r="D22" s="2"/>
      <c r="E22" s="2"/>
    </row>
    <row r="23" spans="1:5" ht="39.75" customHeight="1" x14ac:dyDescent="0.25">
      <c r="A23" s="46" t="s">
        <v>3299</v>
      </c>
      <c r="B23" s="1" t="s">
        <v>3300</v>
      </c>
      <c r="C23" s="1"/>
      <c r="D23" s="1"/>
      <c r="E23" s="1"/>
    </row>
    <row r="24" spans="1:5" ht="39.75" customHeight="1" x14ac:dyDescent="0.25">
      <c r="A24" s="46" t="s">
        <v>3301</v>
      </c>
      <c r="B24" s="1" t="s">
        <v>3302</v>
      </c>
      <c r="C24" s="1"/>
      <c r="D24" s="1"/>
      <c r="E24" s="1"/>
    </row>
  </sheetData>
  <mergeCells count="9">
    <mergeCell ref="B21:E21"/>
    <mergeCell ref="B22:E22"/>
    <mergeCell ref="B23:E23"/>
    <mergeCell ref="B24:E24"/>
    <mergeCell ref="A2:E2"/>
    <mergeCell ref="B17:E17"/>
    <mergeCell ref="B18:E18"/>
    <mergeCell ref="B19:E19"/>
    <mergeCell ref="B20:E20"/>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8"/>
  <sheetViews>
    <sheetView zoomScaleNormal="100" workbookViewId="0"/>
  </sheetViews>
  <sheetFormatPr defaultColWidth="8.6328125" defaultRowHeight="14.5" x14ac:dyDescent="0.35"/>
  <cols>
    <col min="1" max="1" width="30" style="12" customWidth="1"/>
    <col min="2" max="2" width="88" style="12" customWidth="1"/>
  </cols>
  <sheetData>
    <row r="1" spans="1:2" ht="18" customHeight="1" x14ac:dyDescent="0.25">
      <c r="A1" s="45" t="s">
        <v>3303</v>
      </c>
      <c r="B1" s="45"/>
    </row>
    <row r="2" spans="1:2" ht="43.5" customHeight="1" x14ac:dyDescent="0.25">
      <c r="A2" s="46" t="s">
        <v>3304</v>
      </c>
      <c r="B2" s="47" t="s">
        <v>3305</v>
      </c>
    </row>
    <row r="3" spans="1:2" ht="18" customHeight="1" x14ac:dyDescent="0.25">
      <c r="A3" s="46"/>
      <c r="B3" s="47"/>
    </row>
    <row r="4" spans="1:2" ht="18" customHeight="1" x14ac:dyDescent="0.25">
      <c r="A4" s="45" t="s">
        <v>3306</v>
      </c>
      <c r="B4" s="45"/>
    </row>
    <row r="5" spans="1:2" ht="43.5" customHeight="1" x14ac:dyDescent="0.25">
      <c r="A5" s="46" t="s">
        <v>3307</v>
      </c>
      <c r="B5" s="47" t="s">
        <v>3308</v>
      </c>
    </row>
    <row r="6" spans="1:2" ht="43.5" customHeight="1" x14ac:dyDescent="0.25">
      <c r="A6" s="46" t="s">
        <v>3309</v>
      </c>
      <c r="B6" s="47" t="s">
        <v>3310</v>
      </c>
    </row>
    <row r="7" spans="1:2" ht="43.5" customHeight="1" x14ac:dyDescent="0.25">
      <c r="A7" s="46" t="s">
        <v>3311</v>
      </c>
      <c r="B7" s="47" t="s">
        <v>3312</v>
      </c>
    </row>
    <row r="8" spans="1:2" ht="43.5" customHeight="1" x14ac:dyDescent="0.25">
      <c r="A8" s="46" t="s">
        <v>3313</v>
      </c>
      <c r="B8" s="47" t="s">
        <v>3314</v>
      </c>
    </row>
    <row r="9" spans="1:2" ht="43.5" customHeight="1" x14ac:dyDescent="0.25">
      <c r="A9" s="46" t="s">
        <v>768</v>
      </c>
      <c r="B9" s="47" t="s">
        <v>3315</v>
      </c>
    </row>
    <row r="10" spans="1:2" ht="18" customHeight="1" x14ac:dyDescent="0.25">
      <c r="A10" s="46"/>
      <c r="B10" s="47"/>
    </row>
    <row r="11" spans="1:2" ht="18" customHeight="1" x14ac:dyDescent="0.25">
      <c r="A11" s="45" t="s">
        <v>3316</v>
      </c>
      <c r="B11" s="45"/>
    </row>
    <row r="12" spans="1:2" ht="43.5" customHeight="1" x14ac:dyDescent="0.25">
      <c r="A12" s="46" t="s">
        <v>263</v>
      </c>
      <c r="B12" s="47" t="s">
        <v>3317</v>
      </c>
    </row>
    <row r="13" spans="1:2" ht="43.5" customHeight="1" x14ac:dyDescent="0.25">
      <c r="A13" s="46" t="s">
        <v>264</v>
      </c>
      <c r="B13" s="47" t="s">
        <v>3318</v>
      </c>
    </row>
    <row r="14" spans="1:2" ht="18" customHeight="1" x14ac:dyDescent="0.25">
      <c r="A14" s="46"/>
      <c r="B14" s="47"/>
    </row>
    <row r="15" spans="1:2" ht="18" customHeight="1" x14ac:dyDescent="0.25">
      <c r="A15" s="45" t="s">
        <v>3319</v>
      </c>
      <c r="B15" s="45"/>
    </row>
    <row r="16" spans="1:2" ht="43.5" customHeight="1" x14ac:dyDescent="0.25">
      <c r="A16" s="46" t="s">
        <v>3320</v>
      </c>
      <c r="B16" s="47" t="s">
        <v>3321</v>
      </c>
    </row>
    <row r="17" spans="1:2" ht="43.5" customHeight="1" x14ac:dyDescent="0.25">
      <c r="A17" s="46" t="s">
        <v>3322</v>
      </c>
      <c r="B17" s="47" t="s">
        <v>3323</v>
      </c>
    </row>
    <row r="18" spans="1:2" ht="43.5" customHeight="1" x14ac:dyDescent="0.25">
      <c r="A18" s="46" t="s">
        <v>3324</v>
      </c>
      <c r="B18" s="47" t="s">
        <v>3325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Knowledge Map</vt:lpstr>
      <vt:lpstr>Papers (60)</vt:lpstr>
      <vt:lpstr>Engine Schema</vt:lpstr>
      <vt:lpstr>Legacy Map (10)</vt:lpstr>
      <vt:lpstr>Paper→Ontology</vt:lpstr>
      <vt:lpstr>Repair Strategies</vt:lpstr>
      <vt:lpstr>Biological Primitives</vt:lpstr>
      <vt:lpstr>Biological Models</vt:lpstr>
      <vt:lpstr>Challenge→Strategy</vt:lpstr>
      <vt:lpstr>Evaluation Metrics</vt:lpstr>
      <vt:lpstr>Attached Sources</vt:lpstr>
      <vt:lpstr>Reasoning Relations</vt:lpstr>
      <vt:lpstr>Ontology Bridge</vt:lpstr>
      <vt:lpstr>Maturity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melanie samson</cp:lastModifiedBy>
  <cp:revision>0</cp:revision>
  <dcterms:created xsi:type="dcterms:W3CDTF">2026-08-16T13:09:37Z</dcterms:created>
  <dcterms:modified xsi:type="dcterms:W3CDTF">2026-08-16T13:33:31Z</dcterms:modified>
  <dc:language>en-US</dc:language>
</cp:coreProperties>
</file>